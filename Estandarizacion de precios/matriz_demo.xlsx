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Antes_4_tarifarios" sheetId="2" state="visible" r:id="rId4"/>
    <sheet name="Matriz_unificada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<sst xmlns="http://schemas.openxmlformats.org/spreadsheetml/2006/main" count="252" uniqueCount="136">
  <si>
    <t xml:space="preserve">Matriz de tarifario unificado: demo con datos ficticios</t>
  </si>
  <si>
    <t xml:space="preserve">Todos los servicios, precios, costos y volúmenes de este archivo son inventados. Sirve para mostrar el método, no cifras reales.</t>
  </si>
  <si>
    <t xml:space="preserve">Hojas</t>
  </si>
  <si>
    <t xml:space="preserve">Antes_4_tarifarios: el mismo servicio con precios distintos en 4 tarifarios, y la diferencia entre el más caro y el más barato.</t>
  </si>
  <si>
    <t xml:space="preserve">Matriz_unificada: un registro por servicio con costo, precio, precio de mercado, margen, desviación, análisis de Pareto y estado.</t>
  </si>
  <si>
    <t xml:space="preserve">Resumen: indicadores calculados con fórmulas sobre la matriz.</t>
  </si>
  <si>
    <t xml:space="preserve">Supuestos de la demo</t>
  </si>
  <si>
    <t xml:space="preserve">El precio unificado de partida es el promedio de los 4 tarifarios (columna E de Matriz_unificada). En un caso real se reemplaza por el precio definido.</t>
  </si>
  <si>
    <t xml:space="preserve">Margen = (precio - costo) / precio. Desviación = precio / precio de mercado - 1.</t>
  </si>
  <si>
    <t xml:space="preserve">Pareto 80 %: clase A son los servicios que, ordenados por facturación mensual, acumulan hasta el 80 % del total.</t>
  </si>
  <si>
    <t xml:space="preserve">Umbrales de alerta (celdas amarillas de Matriz_unificada): margen mínimo 20 % y desviación vs. mercado de ±10 %. Son supuestos de la demo.</t>
  </si>
  <si>
    <t xml:space="preserve">Colores</t>
  </si>
  <si>
    <t xml:space="preserve">Texto azul: dato de entrada. Texto negro: fórmula. Texto verde: fórmula que toma datos de otra hoja. Celda amarilla: supuesto editable.</t>
  </si>
  <si>
    <t xml:space="preserve">Antes: 4 tarifarios con precios distintos para el mismo servicio</t>
  </si>
  <si>
    <t xml:space="preserve">Datos ficticios. Precios en USD.</t>
  </si>
  <si>
    <t xml:space="preserve">Código</t>
  </si>
  <si>
    <t xml:space="preserve">Servicio</t>
  </si>
  <si>
    <t xml:space="preserve">Tarifario 1</t>
  </si>
  <si>
    <t xml:space="preserve">Tarifario 2</t>
  </si>
  <si>
    <t xml:space="preserve">Tarifario 3</t>
  </si>
  <si>
    <t xml:space="preserve">Tarifario 4</t>
  </si>
  <si>
    <t xml:space="preserve">Precio máximo</t>
  </si>
  <si>
    <t xml:space="preserve">Precio mínimo</t>
  </si>
  <si>
    <t xml:space="preserve">Diferencia máx-mín</t>
  </si>
  <si>
    <t xml:space="preserve">Tarifario más barato</t>
  </si>
  <si>
    <t xml:space="preserve">S001</t>
  </si>
  <si>
    <t xml:space="preserve">Consulta de medicina general</t>
  </si>
  <si>
    <t xml:space="preserve">S002</t>
  </si>
  <si>
    <t xml:space="preserve">Consulta de pediatría</t>
  </si>
  <si>
    <t xml:space="preserve">S003</t>
  </si>
  <si>
    <t xml:space="preserve">Consulta de ginecología</t>
  </si>
  <si>
    <t xml:space="preserve">S004</t>
  </si>
  <si>
    <t xml:space="preserve">Consulta de cardiología</t>
  </si>
  <si>
    <t xml:space="preserve">S005</t>
  </si>
  <si>
    <t xml:space="preserve">Consulta de traumatología</t>
  </si>
  <si>
    <t xml:space="preserve">S006</t>
  </si>
  <si>
    <t xml:space="preserve">Consulta de dermatología</t>
  </si>
  <si>
    <t xml:space="preserve">S007</t>
  </si>
  <si>
    <t xml:space="preserve">Atención de emergencia</t>
  </si>
  <si>
    <t xml:space="preserve">S008</t>
  </si>
  <si>
    <t xml:space="preserve">Hemograma completo</t>
  </si>
  <si>
    <t xml:space="preserve">S009</t>
  </si>
  <si>
    <t xml:space="preserve">Glucosa en ayunas</t>
  </si>
  <si>
    <t xml:space="preserve">S010</t>
  </si>
  <si>
    <t xml:space="preserve">Perfil lipídico</t>
  </si>
  <si>
    <t xml:space="preserve">S011</t>
  </si>
  <si>
    <t xml:space="preserve">Examen de orina</t>
  </si>
  <si>
    <t xml:space="preserve">S012</t>
  </si>
  <si>
    <t xml:space="preserve">Creatinina</t>
  </si>
  <si>
    <t xml:space="preserve">S013</t>
  </si>
  <si>
    <t xml:space="preserve">TSH</t>
  </si>
  <si>
    <t xml:space="preserve">S014</t>
  </si>
  <si>
    <t xml:space="preserve">Hemoglobina glicosilada</t>
  </si>
  <si>
    <t xml:space="preserve">S015</t>
  </si>
  <si>
    <t xml:space="preserve">Proteína C reactiva</t>
  </si>
  <si>
    <t xml:space="preserve">S016</t>
  </si>
  <si>
    <t xml:space="preserve">Radiografía de tórax</t>
  </si>
  <si>
    <t xml:space="preserve">S017</t>
  </si>
  <si>
    <t xml:space="preserve">Radiografía de columna</t>
  </si>
  <si>
    <t xml:space="preserve">S018</t>
  </si>
  <si>
    <t xml:space="preserve">Ecografía abdominal</t>
  </si>
  <si>
    <t xml:space="preserve">S019</t>
  </si>
  <si>
    <t xml:space="preserve">Ecografía obstétrica</t>
  </si>
  <si>
    <t xml:space="preserve">S020</t>
  </si>
  <si>
    <t xml:space="preserve">Mamografía</t>
  </si>
  <si>
    <t xml:space="preserve">S021</t>
  </si>
  <si>
    <t xml:space="preserve">Tomografía de cráneo</t>
  </si>
  <si>
    <t xml:space="preserve">S022</t>
  </si>
  <si>
    <t xml:space="preserve">Resonancia de rodilla</t>
  </si>
  <si>
    <t xml:space="preserve">S023</t>
  </si>
  <si>
    <t xml:space="preserve">Electrocardiograma</t>
  </si>
  <si>
    <t xml:space="preserve">S024</t>
  </si>
  <si>
    <t xml:space="preserve">Ecocardiograma</t>
  </si>
  <si>
    <t xml:space="preserve">S025</t>
  </si>
  <si>
    <t xml:space="preserve">Curación simple</t>
  </si>
  <si>
    <t xml:space="preserve">S026</t>
  </si>
  <si>
    <t xml:space="preserve">Sutura de herida</t>
  </si>
  <si>
    <t xml:space="preserve">S027</t>
  </si>
  <si>
    <t xml:space="preserve">Nebulización</t>
  </si>
  <si>
    <t xml:space="preserve">S028</t>
  </si>
  <si>
    <t xml:space="preserve">Inyectable intramuscular</t>
  </si>
  <si>
    <t xml:space="preserve">S029</t>
  </si>
  <si>
    <t xml:space="preserve">Colocación de yeso</t>
  </si>
  <si>
    <t xml:space="preserve">S030</t>
  </si>
  <si>
    <t xml:space="preserve">Endoscopia digestiva alta</t>
  </si>
  <si>
    <t xml:space="preserve">S031</t>
  </si>
  <si>
    <t xml:space="preserve">Colonoscopia</t>
  </si>
  <si>
    <t xml:space="preserve">S032</t>
  </si>
  <si>
    <t xml:space="preserve">Terapia física (sesión)</t>
  </si>
  <si>
    <t xml:space="preserve">S033</t>
  </si>
  <si>
    <t xml:space="preserve">Terapia respiratoria (sesión)</t>
  </si>
  <si>
    <t xml:space="preserve">S034</t>
  </si>
  <si>
    <t xml:space="preserve">Habitación individual (día)</t>
  </si>
  <si>
    <t xml:space="preserve">S035</t>
  </si>
  <si>
    <t xml:space="preserve">Habitación compartida (día)</t>
  </si>
  <si>
    <t xml:space="preserve">S036</t>
  </si>
  <si>
    <t xml:space="preserve">Parto normal</t>
  </si>
  <si>
    <t xml:space="preserve">S037</t>
  </si>
  <si>
    <t xml:space="preserve">Cesárea</t>
  </si>
  <si>
    <t xml:space="preserve">S038</t>
  </si>
  <si>
    <t xml:space="preserve">Apendicectomía</t>
  </si>
  <si>
    <t xml:space="preserve">S039</t>
  </si>
  <si>
    <t xml:space="preserve">Colecistectomía laparoscópica</t>
  </si>
  <si>
    <t xml:space="preserve">S040</t>
  </si>
  <si>
    <t xml:space="preserve">Cirugía de hernia</t>
  </si>
  <si>
    <t xml:space="preserve">Matriz de tarifario unificado</t>
  </si>
  <si>
    <t xml:space="preserve">Margen mínimo</t>
  </si>
  <si>
    <t xml:space="preserve">Supuesto de la demo</t>
  </si>
  <si>
    <t xml:space="preserve">Umbral de desviación vs. mercado (±)</t>
  </si>
  <si>
    <t xml:space="preserve">Categoría</t>
  </si>
  <si>
    <t xml:space="preserve">Costo</t>
  </si>
  <si>
    <t xml:space="preserve">Precio unificado</t>
  </si>
  <si>
    <t xml:space="preserve">Precio de mercado</t>
  </si>
  <si>
    <t xml:space="preserve">Volumen mensual</t>
  </si>
  <si>
    <t xml:space="preserve">Margen</t>
  </si>
  <si>
    <t xml:space="preserve">Desviación vs. mercado</t>
  </si>
  <si>
    <t xml:space="preserve">Facturación mensual</t>
  </si>
  <si>
    <t xml:space="preserve">% acumulado</t>
  </si>
  <si>
    <t xml:space="preserve">Clase Pareto</t>
  </si>
  <si>
    <t xml:space="preserve">Estado</t>
  </si>
  <si>
    <t xml:space="preserve">Hospitalización</t>
  </si>
  <si>
    <t xml:space="preserve">Consulta</t>
  </si>
  <si>
    <t xml:space="preserve">Imagen</t>
  </si>
  <si>
    <t xml:space="preserve">Cirugía</t>
  </si>
  <si>
    <t xml:space="preserve">Procedimiento</t>
  </si>
  <si>
    <t xml:space="preserve">Laboratorio</t>
  </si>
  <si>
    <t xml:space="preserve">Terapia</t>
  </si>
  <si>
    <t xml:space="preserve">Resumen de la matriz (datos ficticios)</t>
  </si>
  <si>
    <t xml:space="preserve">Servicios en la matriz</t>
  </si>
  <si>
    <t xml:space="preserve">Servicios clase A (Pareto 80 %)</t>
  </si>
  <si>
    <t xml:space="preserve">Facturación mensual total</t>
  </si>
  <si>
    <t xml:space="preserve">Peso de la clase A en la facturación</t>
  </si>
  <si>
    <t xml:space="preserve">Servicios con diferencia &gt; 15 % entre tarifarios</t>
  </si>
  <si>
    <t xml:space="preserve">Diferencia promedio máx-mín entre tarifarios</t>
  </si>
  <si>
    <t xml:space="preserve">Servicios con alerta de estado</t>
  </si>
  <si>
    <t xml:space="preserve">De ellos, en clase 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</si>
</sst>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"/>
    <numFmt numFmtId="168" formatCode="\$#,##0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2F2F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4"/>
      </left>
      <right style="thin">
        <color rgb="FFD9CFC4"/>
      </right>
      <top style="thin">
        <color rgb="FFD9CFC4"/>
      </top>
      <bottom style="thin">
        <color rgb="FFD9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C7B8"/>
        </patternFill>
      </fill>
    </dxf>
    <dxf>
      <fill>
        <patternFill>
          <bgColor rgb="FFD5E8D4"/>
        </patternFill>
      </fill>
    </dxf>
    <dxf>
      <fill>
        <patternFill>
          <bgColor rgb="FFFCE8B2"/>
        </patternFill>
      </fill>
    </dxf>
    <dxf>
      <fill>
        <patternFill>
          <bgColor rgb="FFF3EC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4"/>
      <rgbColor rgb="FF808080"/>
      <rgbColor rgb="FF9999FF"/>
      <rgbColor rgb="FF993366"/>
      <rgbColor rgb="FFF3EC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CE8B2"/>
      <rgbColor rgb="FF99CCFF"/>
      <rgbColor rgb="FFFF99CC"/>
      <rgbColor rgb="FFCC99FF"/>
      <rgbColor rgb="FFF4C7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6" min="3" style="0" width="13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14</v>
      </c>
    </row>
    <row r="4" customFormat="false" ht="31.5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15" hidden="false" customHeight="false" outlineLevel="0" collapsed="false">
      <c r="A5" s="6" t="s">
        <v>25</v>
      </c>
      <c r="B5" s="6" t="s">
        <v>26</v>
      </c>
      <c r="C5" s="7" t="n">
        <v>22.16</v>
      </c>
      <c r="D5" s="7" t="n">
        <v>25.29</v>
      </c>
      <c r="E5" s="7" t="n">
        <v>22.49</v>
      </c>
      <c r="F5" s="7" t="n">
        <v>24.02</v>
      </c>
      <c r="G5" s="8" t="n">
        <f aca="false">MAX(C5:F5)</f>
        <v>25.29</v>
      </c>
      <c r="H5" s="8" t="n">
        <f aca="false">MIN(C5:F5)</f>
        <v>22.16</v>
      </c>
      <c r="I5" s="9" t="n">
        <f aca="false">(G5-H5)/H5</f>
        <v>0.141245487364621</v>
      </c>
      <c r="J5" s="10" t="str">
        <f aca="false">INDEX($C$4:$F$4,MATCH(H5,C5:F5,0))</f>
        <v>Tarifario 1</v>
      </c>
    </row>
    <row r="6" customFormat="false" ht="15" hidden="false" customHeight="false" outlineLevel="0" collapsed="false">
      <c r="A6" s="6" t="s">
        <v>27</v>
      </c>
      <c r="B6" s="6" t="s">
        <v>28</v>
      </c>
      <c r="C6" s="7" t="n">
        <v>30.41</v>
      </c>
      <c r="D6" s="7" t="n">
        <v>29.31</v>
      </c>
      <c r="E6" s="7" t="n">
        <v>31.24</v>
      </c>
      <c r="F6" s="7" t="n">
        <v>29.58</v>
      </c>
      <c r="G6" s="8" t="n">
        <f aca="false">MAX(C6:F6)</f>
        <v>31.24</v>
      </c>
      <c r="H6" s="8" t="n">
        <f aca="false">MIN(C6:F6)</f>
        <v>29.31</v>
      </c>
      <c r="I6" s="9" t="n">
        <f aca="false">(G6-H6)/H6</f>
        <v>0.0658478335039236</v>
      </c>
      <c r="J6" s="10" t="str">
        <f aca="false">INDEX($C$4:$F$4,MATCH(H6,C6:F6,0))</f>
        <v>Tarifario 2</v>
      </c>
    </row>
    <row r="7" customFormat="false" ht="15" hidden="false" customHeight="false" outlineLevel="0" collapsed="false">
      <c r="A7" s="6" t="s">
        <v>29</v>
      </c>
      <c r="B7" s="6" t="s">
        <v>30</v>
      </c>
      <c r="C7" s="7" t="n">
        <v>30.56</v>
      </c>
      <c r="D7" s="7" t="n">
        <v>29.07</v>
      </c>
      <c r="E7" s="7" t="n">
        <v>31.57</v>
      </c>
      <c r="F7" s="7" t="n">
        <v>32.41</v>
      </c>
      <c r="G7" s="8" t="n">
        <f aca="false">MAX(C7:F7)</f>
        <v>32.41</v>
      </c>
      <c r="H7" s="8" t="n">
        <f aca="false">MIN(C7:F7)</f>
        <v>29.07</v>
      </c>
      <c r="I7" s="9" t="n">
        <f aca="false">(G7-H7)/H7</f>
        <v>0.114895080839353</v>
      </c>
      <c r="J7" s="10" t="str">
        <f aca="false">INDEX($C$4:$F$4,MATCH(H7,C7:F7,0))</f>
        <v>Tarifario 2</v>
      </c>
    </row>
    <row r="8" customFormat="false" ht="15" hidden="false" customHeight="false" outlineLevel="0" collapsed="false">
      <c r="A8" s="6" t="s">
        <v>31</v>
      </c>
      <c r="B8" s="6" t="s">
        <v>32</v>
      </c>
      <c r="C8" s="7" t="n">
        <v>47.02</v>
      </c>
      <c r="D8" s="7" t="n">
        <v>51.15</v>
      </c>
      <c r="E8" s="7" t="n">
        <v>51.9</v>
      </c>
      <c r="F8" s="7" t="n">
        <v>50.37</v>
      </c>
      <c r="G8" s="8" t="n">
        <f aca="false">MAX(C8:F8)</f>
        <v>51.9</v>
      </c>
      <c r="H8" s="8" t="n">
        <f aca="false">MIN(C8:F8)</f>
        <v>47.02</v>
      </c>
      <c r="I8" s="9" t="n">
        <f aca="false">(G8-H8)/H8</f>
        <v>0.10378562313909</v>
      </c>
      <c r="J8" s="10" t="str">
        <f aca="false">INDEX($C$4:$F$4,MATCH(H8,C8:F8,0))</f>
        <v>Tarifario 1</v>
      </c>
    </row>
    <row r="9" customFormat="false" ht="15" hidden="false" customHeight="false" outlineLevel="0" collapsed="false">
      <c r="A9" s="6" t="s">
        <v>33</v>
      </c>
      <c r="B9" s="6" t="s">
        <v>34</v>
      </c>
      <c r="C9" s="7" t="n">
        <v>42.03</v>
      </c>
      <c r="D9" s="7" t="n">
        <v>41.92</v>
      </c>
      <c r="E9" s="7" t="n">
        <v>40.01</v>
      </c>
      <c r="F9" s="7" t="n">
        <v>41.93</v>
      </c>
      <c r="G9" s="8" t="n">
        <f aca="false">MAX(C9:F9)</f>
        <v>42.03</v>
      </c>
      <c r="H9" s="8" t="n">
        <f aca="false">MIN(C9:F9)</f>
        <v>40.01</v>
      </c>
      <c r="I9" s="9" t="n">
        <f aca="false">(G9-H9)/H9</f>
        <v>0.0504873781554612</v>
      </c>
      <c r="J9" s="10" t="str">
        <f aca="false">INDEX($C$4:$F$4,MATCH(H9,C9:F9,0))</f>
        <v>Tarifario 3</v>
      </c>
    </row>
    <row r="10" customFormat="false" ht="15" hidden="false" customHeight="false" outlineLevel="0" collapsed="false">
      <c r="A10" s="6" t="s">
        <v>35</v>
      </c>
      <c r="B10" s="6" t="s">
        <v>36</v>
      </c>
      <c r="C10" s="7" t="n">
        <v>32.82</v>
      </c>
      <c r="D10" s="7" t="n">
        <v>37.4</v>
      </c>
      <c r="E10" s="7" t="n">
        <v>36.61</v>
      </c>
      <c r="F10" s="7" t="n">
        <v>38.96</v>
      </c>
      <c r="G10" s="8" t="n">
        <f aca="false">MAX(C10:F10)</f>
        <v>38.96</v>
      </c>
      <c r="H10" s="8" t="n">
        <f aca="false">MIN(C10:F10)</f>
        <v>32.82</v>
      </c>
      <c r="I10" s="9" t="n">
        <f aca="false">(G10-H10)/H10</f>
        <v>0.187081048141377</v>
      </c>
      <c r="J10" s="10" t="str">
        <f aca="false">INDEX($C$4:$F$4,MATCH(H10,C10:F10,0))</f>
        <v>Tarifario 1</v>
      </c>
    </row>
    <row r="11" customFormat="false" ht="15" hidden="false" customHeight="false" outlineLevel="0" collapsed="false">
      <c r="A11" s="6" t="s">
        <v>37</v>
      </c>
      <c r="B11" s="6" t="s">
        <v>38</v>
      </c>
      <c r="C11" s="7" t="n">
        <v>35.71</v>
      </c>
      <c r="D11" s="7" t="n">
        <v>30.71</v>
      </c>
      <c r="E11" s="7" t="n">
        <v>35.44</v>
      </c>
      <c r="F11" s="7" t="n">
        <v>32.09</v>
      </c>
      <c r="G11" s="8" t="n">
        <f aca="false">MAX(C11:F11)</f>
        <v>35.71</v>
      </c>
      <c r="H11" s="8" t="n">
        <f aca="false">MIN(C11:F11)</f>
        <v>30.71</v>
      </c>
      <c r="I11" s="9" t="n">
        <f aca="false">(G11-H11)/H11</f>
        <v>0.162813415825464</v>
      </c>
      <c r="J11" s="10" t="str">
        <f aca="false">INDEX($C$4:$F$4,MATCH(H11,C11:F11,0))</f>
        <v>Tarifario 2</v>
      </c>
    </row>
    <row r="12" customFormat="false" ht="15" hidden="false" customHeight="false" outlineLevel="0" collapsed="false">
      <c r="A12" s="6" t="s">
        <v>39</v>
      </c>
      <c r="B12" s="6" t="s">
        <v>40</v>
      </c>
      <c r="C12" s="7" t="n">
        <v>7.93</v>
      </c>
      <c r="D12" s="7" t="n">
        <v>7.9</v>
      </c>
      <c r="E12" s="7" t="n">
        <v>8.36</v>
      </c>
      <c r="F12" s="7" t="n">
        <v>7.38</v>
      </c>
      <c r="G12" s="8" t="n">
        <f aca="false">MAX(C12:F12)</f>
        <v>8.36</v>
      </c>
      <c r="H12" s="8" t="n">
        <f aca="false">MIN(C12:F12)</f>
        <v>7.38</v>
      </c>
      <c r="I12" s="9" t="n">
        <f aca="false">(G12-H12)/H12</f>
        <v>0.132791327913279</v>
      </c>
      <c r="J12" s="10" t="str">
        <f aca="false">INDEX($C$4:$F$4,MATCH(H12,C12:F12,0))</f>
        <v>Tarifario 4</v>
      </c>
    </row>
    <row r="13" customFormat="false" ht="15" hidden="false" customHeight="false" outlineLevel="0" collapsed="false">
      <c r="A13" s="6" t="s">
        <v>41</v>
      </c>
      <c r="B13" s="6" t="s">
        <v>42</v>
      </c>
      <c r="C13" s="7" t="n">
        <v>3.71</v>
      </c>
      <c r="D13" s="7" t="n">
        <v>3.7</v>
      </c>
      <c r="E13" s="7" t="n">
        <v>3.98</v>
      </c>
      <c r="F13" s="7" t="n">
        <v>3.8</v>
      </c>
      <c r="G13" s="8" t="n">
        <f aca="false">MAX(C13:F13)</f>
        <v>3.98</v>
      </c>
      <c r="H13" s="8" t="n">
        <f aca="false">MIN(C13:F13)</f>
        <v>3.7</v>
      </c>
      <c r="I13" s="9" t="n">
        <f aca="false">(G13-H13)/H13</f>
        <v>0.0756756756756756</v>
      </c>
      <c r="J13" s="10" t="str">
        <f aca="false">INDEX($C$4:$F$4,MATCH(H13,C13:F13,0))</f>
        <v>Tarifario 2</v>
      </c>
    </row>
    <row r="14" customFormat="false" ht="15" hidden="false" customHeight="false" outlineLevel="0" collapsed="false">
      <c r="A14" s="6" t="s">
        <v>43</v>
      </c>
      <c r="B14" s="6" t="s">
        <v>44</v>
      </c>
      <c r="C14" s="7" t="n">
        <v>15.8</v>
      </c>
      <c r="D14" s="7" t="n">
        <v>17.47</v>
      </c>
      <c r="E14" s="7" t="n">
        <v>16.74</v>
      </c>
      <c r="F14" s="7" t="n">
        <v>17.97</v>
      </c>
      <c r="G14" s="8" t="n">
        <f aca="false">MAX(C14:F14)</f>
        <v>17.97</v>
      </c>
      <c r="H14" s="8" t="n">
        <f aca="false">MIN(C14:F14)</f>
        <v>15.8</v>
      </c>
      <c r="I14" s="9" t="n">
        <f aca="false">(G14-H14)/H14</f>
        <v>0.137341772151899</v>
      </c>
      <c r="J14" s="10" t="str">
        <f aca="false">INDEX($C$4:$F$4,MATCH(H14,C14:F14,0))</f>
        <v>Tarifario 1</v>
      </c>
    </row>
    <row r="15" customFormat="false" ht="15" hidden="false" customHeight="false" outlineLevel="0" collapsed="false">
      <c r="A15" s="6" t="s">
        <v>45</v>
      </c>
      <c r="B15" s="6" t="s">
        <v>46</v>
      </c>
      <c r="C15" s="7" t="n">
        <v>4.66</v>
      </c>
      <c r="D15" s="7" t="n">
        <v>4.93</v>
      </c>
      <c r="E15" s="7" t="n">
        <v>4.58</v>
      </c>
      <c r="F15" s="7" t="n">
        <v>5.01</v>
      </c>
      <c r="G15" s="8" t="n">
        <f aca="false">MAX(C15:F15)</f>
        <v>5.01</v>
      </c>
      <c r="H15" s="8" t="n">
        <f aca="false">MIN(C15:F15)</f>
        <v>4.58</v>
      </c>
      <c r="I15" s="9" t="n">
        <f aca="false">(G15-H15)/H15</f>
        <v>0.093886462882096</v>
      </c>
      <c r="J15" s="10" t="str">
        <f aca="false">INDEX($C$4:$F$4,MATCH(H15,C15:F15,0))</f>
        <v>Tarifario 3</v>
      </c>
    </row>
    <row r="16" customFormat="false" ht="15" hidden="false" customHeight="false" outlineLevel="0" collapsed="false">
      <c r="A16" s="6" t="s">
        <v>47</v>
      </c>
      <c r="B16" s="6" t="s">
        <v>48</v>
      </c>
      <c r="C16" s="7" t="n">
        <v>5.47</v>
      </c>
      <c r="D16" s="7" t="n">
        <v>5.76</v>
      </c>
      <c r="E16" s="7" t="n">
        <v>5.81</v>
      </c>
      <c r="F16" s="7" t="n">
        <v>5.2</v>
      </c>
      <c r="G16" s="8" t="n">
        <f aca="false">MAX(C16:F16)</f>
        <v>5.81</v>
      </c>
      <c r="H16" s="8" t="n">
        <f aca="false">MIN(C16:F16)</f>
        <v>5.2</v>
      </c>
      <c r="I16" s="9" t="n">
        <f aca="false">(G16-H16)/H16</f>
        <v>0.117307692307692</v>
      </c>
      <c r="J16" s="10" t="str">
        <f aca="false">INDEX($C$4:$F$4,MATCH(H16,C16:F16,0))</f>
        <v>Tarifario 4</v>
      </c>
    </row>
    <row r="17" customFormat="false" ht="15" hidden="false" customHeight="false" outlineLevel="0" collapsed="false">
      <c r="A17" s="6" t="s">
        <v>49</v>
      </c>
      <c r="B17" s="6" t="s">
        <v>50</v>
      </c>
      <c r="C17" s="7" t="n">
        <v>12.72</v>
      </c>
      <c r="D17" s="7" t="n">
        <v>12.93</v>
      </c>
      <c r="E17" s="7" t="n">
        <v>13.01</v>
      </c>
      <c r="F17" s="7" t="n">
        <v>12.68</v>
      </c>
      <c r="G17" s="8" t="n">
        <f aca="false">MAX(C17:F17)</f>
        <v>13.01</v>
      </c>
      <c r="H17" s="8" t="n">
        <f aca="false">MIN(C17:F17)</f>
        <v>12.68</v>
      </c>
      <c r="I17" s="9" t="n">
        <f aca="false">(G17-H17)/H17</f>
        <v>0.0260252365930599</v>
      </c>
      <c r="J17" s="10" t="str">
        <f aca="false">INDEX($C$4:$F$4,MATCH(H17,C17:F17,0))</f>
        <v>Tarifario 4</v>
      </c>
    </row>
    <row r="18" customFormat="false" ht="15" hidden="false" customHeight="false" outlineLevel="0" collapsed="false">
      <c r="A18" s="6" t="s">
        <v>51</v>
      </c>
      <c r="B18" s="6" t="s">
        <v>52</v>
      </c>
      <c r="C18" s="7" t="n">
        <v>14.58</v>
      </c>
      <c r="D18" s="7" t="n">
        <v>13.11</v>
      </c>
      <c r="E18" s="7" t="n">
        <v>14.6</v>
      </c>
      <c r="F18" s="7" t="n">
        <v>14.22</v>
      </c>
      <c r="G18" s="8" t="n">
        <f aca="false">MAX(C18:F18)</f>
        <v>14.6</v>
      </c>
      <c r="H18" s="8" t="n">
        <f aca="false">MIN(C18:F18)</f>
        <v>13.11</v>
      </c>
      <c r="I18" s="9" t="n">
        <f aca="false">(G18-H18)/H18</f>
        <v>0.113653699466056</v>
      </c>
      <c r="J18" s="10" t="str">
        <f aca="false">INDEX($C$4:$F$4,MATCH(H18,C18:F18,0))</f>
        <v>Tarifario 2</v>
      </c>
    </row>
    <row r="19" customFormat="false" ht="15" hidden="false" customHeight="false" outlineLevel="0" collapsed="false">
      <c r="A19" s="6" t="s">
        <v>53</v>
      </c>
      <c r="B19" s="6" t="s">
        <v>54</v>
      </c>
      <c r="C19" s="7" t="n">
        <v>10.21</v>
      </c>
      <c r="D19" s="7" t="n">
        <v>8.75</v>
      </c>
      <c r="E19" s="7" t="n">
        <v>10.59</v>
      </c>
      <c r="F19" s="7" t="n">
        <v>8.88</v>
      </c>
      <c r="G19" s="8" t="n">
        <f aca="false">MAX(C19:F19)</f>
        <v>10.59</v>
      </c>
      <c r="H19" s="8" t="n">
        <f aca="false">MIN(C19:F19)</f>
        <v>8.75</v>
      </c>
      <c r="I19" s="9" t="n">
        <f aca="false">(G19-H19)/H19</f>
        <v>0.210285714285714</v>
      </c>
      <c r="J19" s="10" t="str">
        <f aca="false">INDEX($C$4:$F$4,MATCH(H19,C19:F19,0))</f>
        <v>Tarifario 2</v>
      </c>
    </row>
    <row r="20" customFormat="false" ht="15" hidden="false" customHeight="false" outlineLevel="0" collapsed="false">
      <c r="A20" s="6" t="s">
        <v>55</v>
      </c>
      <c r="B20" s="6" t="s">
        <v>56</v>
      </c>
      <c r="C20" s="7" t="n">
        <v>23</v>
      </c>
      <c r="D20" s="7" t="n">
        <v>23.09</v>
      </c>
      <c r="E20" s="7" t="n">
        <v>24.63</v>
      </c>
      <c r="F20" s="7" t="n">
        <v>21.87</v>
      </c>
      <c r="G20" s="8" t="n">
        <f aca="false">MAX(C20:F20)</f>
        <v>24.63</v>
      </c>
      <c r="H20" s="8" t="n">
        <f aca="false">MIN(C20:F20)</f>
        <v>21.87</v>
      </c>
      <c r="I20" s="9" t="n">
        <f aca="false">(G20-H20)/H20</f>
        <v>0.126200274348422</v>
      </c>
      <c r="J20" s="10" t="str">
        <f aca="false">INDEX($C$4:$F$4,MATCH(H20,C20:F20,0))</f>
        <v>Tarifario 4</v>
      </c>
    </row>
    <row r="21" customFormat="false" ht="15" hidden="false" customHeight="false" outlineLevel="0" collapsed="false">
      <c r="A21" s="6" t="s">
        <v>57</v>
      </c>
      <c r="B21" s="6" t="s">
        <v>58</v>
      </c>
      <c r="C21" s="7" t="n">
        <v>29.52</v>
      </c>
      <c r="D21" s="7" t="n">
        <v>29.96</v>
      </c>
      <c r="E21" s="7" t="n">
        <v>31.61</v>
      </c>
      <c r="F21" s="7" t="n">
        <v>29.79</v>
      </c>
      <c r="G21" s="8" t="n">
        <f aca="false">MAX(C21:F21)</f>
        <v>31.61</v>
      </c>
      <c r="H21" s="8" t="n">
        <f aca="false">MIN(C21:F21)</f>
        <v>29.52</v>
      </c>
      <c r="I21" s="9" t="n">
        <f aca="false">(G21-H21)/H21</f>
        <v>0.0707994579945799</v>
      </c>
      <c r="J21" s="10" t="str">
        <f aca="false">INDEX($C$4:$F$4,MATCH(H21,C21:F21,0))</f>
        <v>Tarifario 1</v>
      </c>
    </row>
    <row r="22" customFormat="false" ht="15" hidden="false" customHeight="false" outlineLevel="0" collapsed="false">
      <c r="A22" s="6" t="s">
        <v>59</v>
      </c>
      <c r="B22" s="6" t="s">
        <v>60</v>
      </c>
      <c r="C22" s="7" t="n">
        <v>43.1</v>
      </c>
      <c r="D22" s="7" t="n">
        <v>40.13</v>
      </c>
      <c r="E22" s="7" t="n">
        <v>46.08</v>
      </c>
      <c r="F22" s="7" t="n">
        <v>43.63</v>
      </c>
      <c r="G22" s="8" t="n">
        <f aca="false">MAX(C22:F22)</f>
        <v>46.08</v>
      </c>
      <c r="H22" s="8" t="n">
        <f aca="false">MIN(C22:F22)</f>
        <v>40.13</v>
      </c>
      <c r="I22" s="9" t="n">
        <f aca="false">(G22-H22)/H22</f>
        <v>0.148268128582108</v>
      </c>
      <c r="J22" s="10" t="str">
        <f aca="false">INDEX($C$4:$F$4,MATCH(H22,C22:F22,0))</f>
        <v>Tarifario 2</v>
      </c>
    </row>
    <row r="23" customFormat="false" ht="15" hidden="false" customHeight="false" outlineLevel="0" collapsed="false">
      <c r="A23" s="6" t="s">
        <v>61</v>
      </c>
      <c r="B23" s="6" t="s">
        <v>62</v>
      </c>
      <c r="C23" s="7" t="n">
        <v>40.46</v>
      </c>
      <c r="D23" s="7" t="n">
        <v>43.87</v>
      </c>
      <c r="E23" s="7" t="n">
        <v>44.38</v>
      </c>
      <c r="F23" s="7" t="n">
        <v>46.92</v>
      </c>
      <c r="G23" s="8" t="n">
        <f aca="false">MAX(C23:F23)</f>
        <v>46.92</v>
      </c>
      <c r="H23" s="8" t="n">
        <f aca="false">MIN(C23:F23)</f>
        <v>40.46</v>
      </c>
      <c r="I23" s="9" t="n">
        <f aca="false">(G23-H23)/H23</f>
        <v>0.159663865546219</v>
      </c>
      <c r="J23" s="10" t="str">
        <f aca="false">INDEX($C$4:$F$4,MATCH(H23,C23:F23,0))</f>
        <v>Tarifario 1</v>
      </c>
    </row>
    <row r="24" customFormat="false" ht="15" hidden="false" customHeight="false" outlineLevel="0" collapsed="false">
      <c r="A24" s="6" t="s">
        <v>63</v>
      </c>
      <c r="B24" s="6" t="s">
        <v>64</v>
      </c>
      <c r="C24" s="7" t="n">
        <v>50.64</v>
      </c>
      <c r="D24" s="7" t="n">
        <v>50.94</v>
      </c>
      <c r="E24" s="7" t="n">
        <v>45.13</v>
      </c>
      <c r="F24" s="7" t="n">
        <v>49.33</v>
      </c>
      <c r="G24" s="8" t="n">
        <f aca="false">MAX(C24:F24)</f>
        <v>50.94</v>
      </c>
      <c r="H24" s="8" t="n">
        <f aca="false">MIN(C24:F24)</f>
        <v>45.13</v>
      </c>
      <c r="I24" s="9" t="n">
        <f aca="false">(G24-H24)/H24</f>
        <v>0.128739197872812</v>
      </c>
      <c r="J24" s="10" t="str">
        <f aca="false">INDEX($C$4:$F$4,MATCH(H24,C24:F24,0))</f>
        <v>Tarifario 3</v>
      </c>
    </row>
    <row r="25" customFormat="false" ht="15" hidden="false" customHeight="false" outlineLevel="0" collapsed="false">
      <c r="A25" s="6" t="s">
        <v>65</v>
      </c>
      <c r="B25" s="6" t="s">
        <v>66</v>
      </c>
      <c r="C25" s="7" t="n">
        <v>135.25</v>
      </c>
      <c r="D25" s="7" t="n">
        <v>116.84</v>
      </c>
      <c r="E25" s="7" t="n">
        <v>126.5</v>
      </c>
      <c r="F25" s="7" t="n">
        <v>135.08</v>
      </c>
      <c r="G25" s="8" t="n">
        <f aca="false">MAX(C25:F25)</f>
        <v>135.25</v>
      </c>
      <c r="H25" s="8" t="n">
        <f aca="false">MIN(C25:F25)</f>
        <v>116.84</v>
      </c>
      <c r="I25" s="9" t="n">
        <f aca="false">(G25-H25)/H25</f>
        <v>0.157565902088326</v>
      </c>
      <c r="J25" s="10" t="str">
        <f aca="false">INDEX($C$4:$F$4,MATCH(H25,C25:F25,0))</f>
        <v>Tarifario 2</v>
      </c>
    </row>
    <row r="26" customFormat="false" ht="15" hidden="false" customHeight="false" outlineLevel="0" collapsed="false">
      <c r="A26" s="6" t="s">
        <v>67</v>
      </c>
      <c r="B26" s="6" t="s">
        <v>68</v>
      </c>
      <c r="C26" s="7" t="n">
        <v>205.92</v>
      </c>
      <c r="D26" s="7" t="n">
        <v>202.07</v>
      </c>
      <c r="E26" s="7" t="n">
        <v>204.31</v>
      </c>
      <c r="F26" s="7" t="n">
        <v>234.35</v>
      </c>
      <c r="G26" s="8" t="n">
        <f aca="false">MAX(C26:F26)</f>
        <v>234.35</v>
      </c>
      <c r="H26" s="8" t="n">
        <f aca="false">MIN(C26:F26)</f>
        <v>202.07</v>
      </c>
      <c r="I26" s="9" t="n">
        <f aca="false">(G26-H26)/H26</f>
        <v>0.159746622457564</v>
      </c>
      <c r="J26" s="10" t="str">
        <f aca="false">INDEX($C$4:$F$4,MATCH(H26,C26:F26,0))</f>
        <v>Tarifario 2</v>
      </c>
    </row>
    <row r="27" customFormat="false" ht="15" hidden="false" customHeight="false" outlineLevel="0" collapsed="false">
      <c r="A27" s="6" t="s">
        <v>69</v>
      </c>
      <c r="B27" s="6" t="s">
        <v>70</v>
      </c>
      <c r="C27" s="7" t="n">
        <v>16.2</v>
      </c>
      <c r="D27" s="7" t="n">
        <v>15.9</v>
      </c>
      <c r="E27" s="7" t="n">
        <v>16.77</v>
      </c>
      <c r="F27" s="7" t="n">
        <v>14.77</v>
      </c>
      <c r="G27" s="8" t="n">
        <f aca="false">MAX(C27:F27)</f>
        <v>16.77</v>
      </c>
      <c r="H27" s="8" t="n">
        <f aca="false">MIN(C27:F27)</f>
        <v>14.77</v>
      </c>
      <c r="I27" s="9" t="n">
        <f aca="false">(G27-H27)/H27</f>
        <v>0.1354096140826</v>
      </c>
      <c r="J27" s="10" t="str">
        <f aca="false">INDEX($C$4:$F$4,MATCH(H27,C27:F27,0))</f>
        <v>Tarifario 4</v>
      </c>
    </row>
    <row r="28" customFormat="false" ht="15" hidden="false" customHeight="false" outlineLevel="0" collapsed="false">
      <c r="A28" s="6" t="s">
        <v>71</v>
      </c>
      <c r="B28" s="6" t="s">
        <v>72</v>
      </c>
      <c r="C28" s="7" t="n">
        <v>78.13</v>
      </c>
      <c r="D28" s="7" t="n">
        <v>88.44</v>
      </c>
      <c r="E28" s="7" t="n">
        <v>92.77</v>
      </c>
      <c r="F28" s="7" t="n">
        <v>88.45</v>
      </c>
      <c r="G28" s="8" t="n">
        <f aca="false">MAX(C28:F28)</f>
        <v>92.77</v>
      </c>
      <c r="H28" s="8" t="n">
        <f aca="false">MIN(C28:F28)</f>
        <v>78.13</v>
      </c>
      <c r="I28" s="9" t="n">
        <f aca="false">(G28-H28)/H28</f>
        <v>0.187380007679509</v>
      </c>
      <c r="J28" s="10" t="str">
        <f aca="false">INDEX($C$4:$F$4,MATCH(H28,C28:F28,0))</f>
        <v>Tarifario 1</v>
      </c>
    </row>
    <row r="29" customFormat="false" ht="15" hidden="false" customHeight="false" outlineLevel="0" collapsed="false">
      <c r="A29" s="6" t="s">
        <v>73</v>
      </c>
      <c r="B29" s="6" t="s">
        <v>74</v>
      </c>
      <c r="C29" s="7" t="n">
        <v>12.32</v>
      </c>
      <c r="D29" s="7" t="n">
        <v>13.31</v>
      </c>
      <c r="E29" s="7" t="n">
        <v>13.18</v>
      </c>
      <c r="F29" s="7" t="n">
        <v>12.79</v>
      </c>
      <c r="G29" s="8" t="n">
        <f aca="false">MAX(C29:F29)</f>
        <v>13.31</v>
      </c>
      <c r="H29" s="8" t="n">
        <f aca="false">MIN(C29:F29)</f>
        <v>12.32</v>
      </c>
      <c r="I29" s="9" t="n">
        <f aca="false">(G29-H29)/H29</f>
        <v>0.0803571428571429</v>
      </c>
      <c r="J29" s="10" t="str">
        <f aca="false">INDEX($C$4:$F$4,MATCH(H29,C29:F29,0))</f>
        <v>Tarifario 1</v>
      </c>
    </row>
    <row r="30" customFormat="false" ht="15" hidden="false" customHeight="false" outlineLevel="0" collapsed="false">
      <c r="A30" s="6" t="s">
        <v>75</v>
      </c>
      <c r="B30" s="6" t="s">
        <v>76</v>
      </c>
      <c r="C30" s="7" t="n">
        <v>38.24</v>
      </c>
      <c r="D30" s="7" t="n">
        <v>40.74</v>
      </c>
      <c r="E30" s="7" t="n">
        <v>35.2</v>
      </c>
      <c r="F30" s="7" t="n">
        <v>39.42</v>
      </c>
      <c r="G30" s="8" t="n">
        <f aca="false">MAX(C30:F30)</f>
        <v>40.74</v>
      </c>
      <c r="H30" s="8" t="n">
        <f aca="false">MIN(C30:F30)</f>
        <v>35.2</v>
      </c>
      <c r="I30" s="9" t="n">
        <f aca="false">(G30-H30)/H30</f>
        <v>0.157386363636364</v>
      </c>
      <c r="J30" s="10" t="str">
        <f aca="false">INDEX($C$4:$F$4,MATCH(H30,C30:F30,0))</f>
        <v>Tarifario 3</v>
      </c>
    </row>
    <row r="31" customFormat="false" ht="15" hidden="false" customHeight="false" outlineLevel="0" collapsed="false">
      <c r="A31" s="6" t="s">
        <v>77</v>
      </c>
      <c r="B31" s="6" t="s">
        <v>78</v>
      </c>
      <c r="C31" s="7" t="n">
        <v>9.5</v>
      </c>
      <c r="D31" s="7" t="n">
        <v>9.61</v>
      </c>
      <c r="E31" s="7" t="n">
        <v>10.72</v>
      </c>
      <c r="F31" s="7" t="n">
        <v>10.74</v>
      </c>
      <c r="G31" s="8" t="n">
        <f aca="false">MAX(C31:F31)</f>
        <v>10.74</v>
      </c>
      <c r="H31" s="8" t="n">
        <f aca="false">MIN(C31:F31)</f>
        <v>9.5</v>
      </c>
      <c r="I31" s="9" t="n">
        <f aca="false">(G31-H31)/H31</f>
        <v>0.130526315789474</v>
      </c>
      <c r="J31" s="10" t="str">
        <f aca="false">INDEX($C$4:$F$4,MATCH(H31,C31:F31,0))</f>
        <v>Tarifario 1</v>
      </c>
    </row>
    <row r="32" customFormat="false" ht="15" hidden="false" customHeight="false" outlineLevel="0" collapsed="false">
      <c r="A32" s="6" t="s">
        <v>79</v>
      </c>
      <c r="B32" s="6" t="s">
        <v>80</v>
      </c>
      <c r="C32" s="7" t="n">
        <v>6.01</v>
      </c>
      <c r="D32" s="7" t="n">
        <v>5.32</v>
      </c>
      <c r="E32" s="7" t="n">
        <v>5.37</v>
      </c>
      <c r="F32" s="7" t="n">
        <v>6.39</v>
      </c>
      <c r="G32" s="8" t="n">
        <f aca="false">MAX(C32:F32)</f>
        <v>6.39</v>
      </c>
      <c r="H32" s="8" t="n">
        <f aca="false">MIN(C32:F32)</f>
        <v>5.32</v>
      </c>
      <c r="I32" s="9" t="n">
        <f aca="false">(G32-H32)/H32</f>
        <v>0.201127819548872</v>
      </c>
      <c r="J32" s="10" t="str">
        <f aca="false">INDEX($C$4:$F$4,MATCH(H32,C32:F32,0))</f>
        <v>Tarifario 2</v>
      </c>
    </row>
    <row r="33" customFormat="false" ht="15" hidden="false" customHeight="false" outlineLevel="0" collapsed="false">
      <c r="A33" s="6" t="s">
        <v>81</v>
      </c>
      <c r="B33" s="6" t="s">
        <v>82</v>
      </c>
      <c r="C33" s="7" t="n">
        <v>58.21</v>
      </c>
      <c r="D33" s="7" t="n">
        <v>62.74</v>
      </c>
      <c r="E33" s="7" t="n">
        <v>54.33</v>
      </c>
      <c r="F33" s="7" t="n">
        <v>56.64</v>
      </c>
      <c r="G33" s="8" t="n">
        <f aca="false">MAX(C33:F33)</f>
        <v>62.74</v>
      </c>
      <c r="H33" s="8" t="n">
        <f aca="false">MIN(C33:F33)</f>
        <v>54.33</v>
      </c>
      <c r="I33" s="9" t="n">
        <f aca="false">(G33-H33)/H33</f>
        <v>0.154794772685441</v>
      </c>
      <c r="J33" s="10" t="str">
        <f aca="false">INDEX($C$4:$F$4,MATCH(H33,C33:F33,0))</f>
        <v>Tarifario 3</v>
      </c>
    </row>
    <row r="34" customFormat="false" ht="15" hidden="false" customHeight="false" outlineLevel="0" collapsed="false">
      <c r="A34" s="6" t="s">
        <v>83</v>
      </c>
      <c r="B34" s="6" t="s">
        <v>84</v>
      </c>
      <c r="C34" s="7" t="n">
        <v>127.73</v>
      </c>
      <c r="D34" s="7" t="n">
        <v>119.41</v>
      </c>
      <c r="E34" s="7" t="n">
        <v>123.83</v>
      </c>
      <c r="F34" s="7" t="n">
        <v>127.49</v>
      </c>
      <c r="G34" s="8" t="n">
        <f aca="false">MAX(C34:F34)</f>
        <v>127.73</v>
      </c>
      <c r="H34" s="8" t="n">
        <f aca="false">MIN(C34:F34)</f>
        <v>119.41</v>
      </c>
      <c r="I34" s="9" t="n">
        <f aca="false">(G34-H34)/H34</f>
        <v>0.0696759065404908</v>
      </c>
      <c r="J34" s="10" t="str">
        <f aca="false">INDEX($C$4:$F$4,MATCH(H34,C34:F34,0))</f>
        <v>Tarifario 2</v>
      </c>
    </row>
    <row r="35" customFormat="false" ht="15" hidden="false" customHeight="false" outlineLevel="0" collapsed="false">
      <c r="A35" s="6" t="s">
        <v>85</v>
      </c>
      <c r="B35" s="6" t="s">
        <v>86</v>
      </c>
      <c r="C35" s="7" t="n">
        <v>151.18</v>
      </c>
      <c r="D35" s="7" t="n">
        <v>168.37</v>
      </c>
      <c r="E35" s="7" t="n">
        <v>158.9</v>
      </c>
      <c r="F35" s="7" t="n">
        <v>161.47</v>
      </c>
      <c r="G35" s="8" t="n">
        <f aca="false">MAX(C35:F35)</f>
        <v>168.37</v>
      </c>
      <c r="H35" s="8" t="n">
        <f aca="false">MIN(C35:F35)</f>
        <v>151.18</v>
      </c>
      <c r="I35" s="9" t="n">
        <f aca="false">(G35-H35)/H35</f>
        <v>0.113705516602725</v>
      </c>
      <c r="J35" s="10" t="str">
        <f aca="false">INDEX($C$4:$F$4,MATCH(H35,C35:F35,0))</f>
        <v>Tarifario 1</v>
      </c>
    </row>
    <row r="36" customFormat="false" ht="15" hidden="false" customHeight="false" outlineLevel="0" collapsed="false">
      <c r="A36" s="6" t="s">
        <v>87</v>
      </c>
      <c r="B36" s="6" t="s">
        <v>88</v>
      </c>
      <c r="C36" s="7" t="n">
        <v>18.74</v>
      </c>
      <c r="D36" s="7" t="n">
        <v>16.65</v>
      </c>
      <c r="E36" s="7" t="n">
        <v>16.53</v>
      </c>
      <c r="F36" s="7" t="n">
        <v>18.81</v>
      </c>
      <c r="G36" s="8" t="n">
        <f aca="false">MAX(C36:F36)</f>
        <v>18.81</v>
      </c>
      <c r="H36" s="8" t="n">
        <f aca="false">MIN(C36:F36)</f>
        <v>16.53</v>
      </c>
      <c r="I36" s="9" t="n">
        <f aca="false">(G36-H36)/H36</f>
        <v>0.137931034482758</v>
      </c>
      <c r="J36" s="10" t="str">
        <f aca="false">INDEX($C$4:$F$4,MATCH(H36,C36:F36,0))</f>
        <v>Tarifario 3</v>
      </c>
    </row>
    <row r="37" customFormat="false" ht="15" hidden="false" customHeight="false" outlineLevel="0" collapsed="false">
      <c r="A37" s="6" t="s">
        <v>89</v>
      </c>
      <c r="B37" s="6" t="s">
        <v>90</v>
      </c>
      <c r="C37" s="7" t="n">
        <v>16.28</v>
      </c>
      <c r="D37" s="7" t="n">
        <v>15.05</v>
      </c>
      <c r="E37" s="7" t="n">
        <v>15.17</v>
      </c>
      <c r="F37" s="7" t="n">
        <v>15.81</v>
      </c>
      <c r="G37" s="8" t="n">
        <f aca="false">MAX(C37:F37)</f>
        <v>16.28</v>
      </c>
      <c r="H37" s="8" t="n">
        <f aca="false">MIN(C37:F37)</f>
        <v>15.05</v>
      </c>
      <c r="I37" s="9" t="n">
        <f aca="false">(G37-H37)/H37</f>
        <v>0.0817275747508306</v>
      </c>
      <c r="J37" s="10" t="str">
        <f aca="false">INDEX($C$4:$F$4,MATCH(H37,C37:F37,0))</f>
        <v>Tarifario 2</v>
      </c>
    </row>
    <row r="38" customFormat="false" ht="15" hidden="false" customHeight="false" outlineLevel="0" collapsed="false">
      <c r="A38" s="6" t="s">
        <v>91</v>
      </c>
      <c r="B38" s="6" t="s">
        <v>92</v>
      </c>
      <c r="C38" s="7" t="n">
        <v>105.52</v>
      </c>
      <c r="D38" s="7" t="n">
        <v>91.25</v>
      </c>
      <c r="E38" s="7" t="n">
        <v>96.77</v>
      </c>
      <c r="F38" s="7" t="n">
        <v>105.96</v>
      </c>
      <c r="G38" s="8" t="n">
        <f aca="false">MAX(C38:F38)</f>
        <v>105.96</v>
      </c>
      <c r="H38" s="8" t="n">
        <f aca="false">MIN(C38:F38)</f>
        <v>91.25</v>
      </c>
      <c r="I38" s="9" t="n">
        <f aca="false">(G38-H38)/H38</f>
        <v>0.161205479452055</v>
      </c>
      <c r="J38" s="10" t="str">
        <f aca="false">INDEX($C$4:$F$4,MATCH(H38,C38:F38,0))</f>
        <v>Tarifario 2</v>
      </c>
    </row>
    <row r="39" customFormat="false" ht="15" hidden="false" customHeight="false" outlineLevel="0" collapsed="false">
      <c r="A39" s="6" t="s">
        <v>93</v>
      </c>
      <c r="B39" s="6" t="s">
        <v>94</v>
      </c>
      <c r="C39" s="7" t="n">
        <v>61.52</v>
      </c>
      <c r="D39" s="7" t="n">
        <v>55.55</v>
      </c>
      <c r="E39" s="7" t="n">
        <v>53.54</v>
      </c>
      <c r="F39" s="7" t="n">
        <v>52.94</v>
      </c>
      <c r="G39" s="8" t="n">
        <f aca="false">MAX(C39:F39)</f>
        <v>61.52</v>
      </c>
      <c r="H39" s="8" t="n">
        <f aca="false">MIN(C39:F39)</f>
        <v>52.94</v>
      </c>
      <c r="I39" s="9" t="n">
        <f aca="false">(G39-H39)/H39</f>
        <v>0.162070268228183</v>
      </c>
      <c r="J39" s="10" t="str">
        <f aca="false">INDEX($C$4:$F$4,MATCH(H39,C39:F39,0))</f>
        <v>Tarifario 4</v>
      </c>
    </row>
    <row r="40" customFormat="false" ht="15" hidden="false" customHeight="false" outlineLevel="0" collapsed="false">
      <c r="A40" s="6" t="s">
        <v>95</v>
      </c>
      <c r="B40" s="6" t="s">
        <v>96</v>
      </c>
      <c r="C40" s="7" t="n">
        <v>490.09</v>
      </c>
      <c r="D40" s="7" t="n">
        <v>527.87</v>
      </c>
      <c r="E40" s="7" t="n">
        <v>478.95</v>
      </c>
      <c r="F40" s="7" t="n">
        <v>519.24</v>
      </c>
      <c r="G40" s="8" t="n">
        <f aca="false">MAX(C40:F40)</f>
        <v>527.87</v>
      </c>
      <c r="H40" s="8" t="n">
        <f aca="false">MIN(C40:F40)</f>
        <v>478.95</v>
      </c>
      <c r="I40" s="9" t="n">
        <f aca="false">(G40-H40)/H40</f>
        <v>0.102140098131329</v>
      </c>
      <c r="J40" s="10" t="str">
        <f aca="false">INDEX($C$4:$F$4,MATCH(H40,C40:F40,0))</f>
        <v>Tarifario 3</v>
      </c>
    </row>
    <row r="41" customFormat="false" ht="15" hidden="false" customHeight="false" outlineLevel="0" collapsed="false">
      <c r="A41" s="6" t="s">
        <v>97</v>
      </c>
      <c r="B41" s="6" t="s">
        <v>98</v>
      </c>
      <c r="C41" s="7" t="n">
        <v>969</v>
      </c>
      <c r="D41" s="7" t="n">
        <v>969.69</v>
      </c>
      <c r="E41" s="7" t="n">
        <v>889.09</v>
      </c>
      <c r="F41" s="7" t="n">
        <v>890.48</v>
      </c>
      <c r="G41" s="8" t="n">
        <f aca="false">MAX(C41:F41)</f>
        <v>969.69</v>
      </c>
      <c r="H41" s="8" t="n">
        <f aca="false">MIN(C41:F41)</f>
        <v>889.09</v>
      </c>
      <c r="I41" s="9" t="n">
        <f aca="false">(G41-H41)/H41</f>
        <v>0.0906544894217684</v>
      </c>
      <c r="J41" s="10" t="str">
        <f aca="false">INDEX($C$4:$F$4,MATCH(H41,C41:F41,0))</f>
        <v>Tarifario 3</v>
      </c>
    </row>
    <row r="42" customFormat="false" ht="15" hidden="false" customHeight="false" outlineLevel="0" collapsed="false">
      <c r="A42" s="6" t="s">
        <v>99</v>
      </c>
      <c r="B42" s="6" t="s">
        <v>100</v>
      </c>
      <c r="C42" s="7" t="n">
        <v>701.46</v>
      </c>
      <c r="D42" s="7" t="n">
        <v>714.99</v>
      </c>
      <c r="E42" s="7" t="n">
        <v>694.97</v>
      </c>
      <c r="F42" s="7" t="n">
        <v>724.09</v>
      </c>
      <c r="G42" s="8" t="n">
        <f aca="false">MAX(C42:F42)</f>
        <v>724.09</v>
      </c>
      <c r="H42" s="8" t="n">
        <f aca="false">MIN(C42:F42)</f>
        <v>694.97</v>
      </c>
      <c r="I42" s="9" t="n">
        <f aca="false">(G42-H42)/H42</f>
        <v>0.0419010892556513</v>
      </c>
      <c r="J42" s="10" t="str">
        <f aca="false">INDEX($C$4:$F$4,MATCH(H42,C42:F42,0))</f>
        <v>Tarifario 3</v>
      </c>
    </row>
    <row r="43" customFormat="false" ht="15" hidden="false" customHeight="false" outlineLevel="0" collapsed="false">
      <c r="A43" s="6" t="s">
        <v>101</v>
      </c>
      <c r="B43" s="6" t="s">
        <v>102</v>
      </c>
      <c r="C43" s="7" t="n">
        <v>909.07</v>
      </c>
      <c r="D43" s="7" t="n">
        <v>899.66</v>
      </c>
      <c r="E43" s="7" t="n">
        <v>894.66</v>
      </c>
      <c r="F43" s="7" t="n">
        <v>1022.43</v>
      </c>
      <c r="G43" s="8" t="n">
        <f aca="false">MAX(C43:F43)</f>
        <v>1022.43</v>
      </c>
      <c r="H43" s="8" t="n">
        <f aca="false">MIN(C43:F43)</f>
        <v>894.66</v>
      </c>
      <c r="I43" s="9" t="n">
        <f aca="false">(G43-H43)/H43</f>
        <v>0.142814029910804</v>
      </c>
      <c r="J43" s="10" t="str">
        <f aca="false">INDEX($C$4:$F$4,MATCH(H43,C43:F43,0))</f>
        <v>Tarifario 3</v>
      </c>
    </row>
    <row r="44" customFormat="false" ht="15" hidden="false" customHeight="false" outlineLevel="0" collapsed="false">
      <c r="A44" s="6" t="s">
        <v>103</v>
      </c>
      <c r="B44" s="6" t="s">
        <v>104</v>
      </c>
      <c r="C44" s="7" t="n">
        <v>770.14</v>
      </c>
      <c r="D44" s="7" t="n">
        <v>708.48</v>
      </c>
      <c r="E44" s="7" t="n">
        <v>768.86</v>
      </c>
      <c r="F44" s="7" t="n">
        <v>755.84</v>
      </c>
      <c r="G44" s="8" t="n">
        <f aca="false">MAX(C44:F44)</f>
        <v>770.14</v>
      </c>
      <c r="H44" s="8" t="n">
        <f aca="false">MIN(C44:F44)</f>
        <v>708.48</v>
      </c>
      <c r="I44" s="9" t="n">
        <f aca="false">(G44-H44)/H44</f>
        <v>0.0870313911472448</v>
      </c>
      <c r="J44" s="10" t="str">
        <f aca="false">INDEX($C$4:$F$4,MATCH(H44,C44:F44,0))</f>
        <v>Tarifario 2</v>
      </c>
    </row>
  </sheetData>
  <conditionalFormatting sqref="I5:I44">
    <cfRule type="cellIs" priority="2" operator="greaterThan" aboveAverage="0" equalAverage="0" bottom="0" percent="0" rank="0" text="" dxfId="0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B2" s="11" t="s">
        <v>106</v>
      </c>
      <c r="C2" s="12" t="n">
        <v>0.2</v>
      </c>
      <c r="D2" s="4" t="s">
        <v>107</v>
      </c>
    </row>
    <row r="3" customFormat="false" ht="15" hidden="false" customHeight="false" outlineLevel="0" collapsed="false">
      <c r="B3" s="11" t="s">
        <v>108</v>
      </c>
      <c r="C3" s="12" t="n">
        <v>0.1</v>
      </c>
      <c r="D3" s="4" t="s">
        <v>107</v>
      </c>
    </row>
    <row r="5" customFormat="false" ht="31.5" hidden="false" customHeight="true" outlineLevel="0" collapsed="false">
      <c r="A5" s="5" t="s">
        <v>15</v>
      </c>
      <c r="B5" s="5" t="s">
        <v>16</v>
      </c>
      <c r="C5" s="5" t="s">
        <v>109</v>
      </c>
      <c r="D5" s="5" t="s">
        <v>110</v>
      </c>
      <c r="E5" s="5" t="s">
        <v>111</v>
      </c>
      <c r="F5" s="5" t="s">
        <v>112</v>
      </c>
      <c r="G5" s="5" t="s">
        <v>113</v>
      </c>
      <c r="H5" s="5" t="s">
        <v>114</v>
      </c>
      <c r="I5" s="5" t="s">
        <v>115</v>
      </c>
      <c r="J5" s="5" t="s">
        <v>116</v>
      </c>
      <c r="K5" s="5" t="s">
        <v>117</v>
      </c>
      <c r="L5" s="5" t="s">
        <v>118</v>
      </c>
      <c r="M5" s="5" t="s">
        <v>119</v>
      </c>
    </row>
    <row r="6" customFormat="false" ht="15" hidden="false" customHeight="false" outlineLevel="0" collapsed="false">
      <c r="A6" s="6" t="s">
        <v>93</v>
      </c>
      <c r="B6" s="6" t="s">
        <v>94</v>
      </c>
      <c r="C6" s="6" t="s">
        <v>120</v>
      </c>
      <c r="D6" s="7" t="n">
        <v>27.79</v>
      </c>
      <c r="E6" s="13" t="n">
        <f aca="false">ROUND(AVERAGE(INDEX(Antes_4_tarifarios!$C$5:$F$44,MATCH(A6,Antes_4_tarifarios!$A$5:$A$44,0),0)),2)</f>
        <v>55.89</v>
      </c>
      <c r="F6" s="7" t="n">
        <v>55</v>
      </c>
      <c r="G6" s="14" t="n">
        <v>4662</v>
      </c>
      <c r="H6" s="9" t="n">
        <f aca="false">(E6-D6)/E6</f>
        <v>0.502773304705672</v>
      </c>
      <c r="I6" s="9" t="n">
        <f aca="false">E6/F6-1</f>
        <v>0.0161818181818183</v>
      </c>
      <c r="J6" s="15" t="n">
        <f aca="false">E6*G6</f>
        <v>260559.18</v>
      </c>
      <c r="K6" s="9" t="n">
        <f aca="false">SUM($J$6:J6)/SUM($J$6:$J$45)</f>
        <v>0.303887350274858</v>
      </c>
      <c r="L6" s="16" t="str">
        <f aca="false">IF(K6-J6/SUM($J$6:$J$45)&lt;0.8,"A","B")</f>
        <v>A</v>
      </c>
      <c r="M6" s="10" t="str">
        <f aca="false">IF(H6&lt;$C$2,"Margen bajo",IF(I6&lt;-$C$3,"Bajo mercado",IF(I6&gt;$C$3,"Sobre mercado","OK")))</f>
        <v>OK</v>
      </c>
    </row>
    <row r="7" customFormat="false" ht="15" hidden="false" customHeight="false" outlineLevel="0" collapsed="false">
      <c r="A7" s="6" t="s">
        <v>31</v>
      </c>
      <c r="B7" s="6" t="s">
        <v>32</v>
      </c>
      <c r="C7" s="6" t="s">
        <v>121</v>
      </c>
      <c r="D7" s="7" t="n">
        <v>24.9</v>
      </c>
      <c r="E7" s="13" t="n">
        <f aca="false">ROUND(AVERAGE(INDEX(Antes_4_tarifarios!$C$5:$F$44,MATCH(A7,Antes_4_tarifarios!$A$5:$A$44,0),0)),2)</f>
        <v>50.11</v>
      </c>
      <c r="F7" s="7" t="n">
        <v>45</v>
      </c>
      <c r="G7" s="14" t="n">
        <v>2553</v>
      </c>
      <c r="H7" s="9" t="n">
        <f aca="false">(E7-D7)/E7</f>
        <v>0.503093194971064</v>
      </c>
      <c r="I7" s="9" t="n">
        <f aca="false">E7/F7-1</f>
        <v>0.113555555555556</v>
      </c>
      <c r="J7" s="15" t="n">
        <f aca="false">E7*G7</f>
        <v>127930.83</v>
      </c>
      <c r="K7" s="9" t="n">
        <f aca="false">SUM($J$6:J7)/SUM($J$6:$J$45)</f>
        <v>0.453091692056879</v>
      </c>
      <c r="L7" s="16" t="str">
        <f aca="false">IF(K7-J7/SUM($J$6:$J$45)&lt;0.8,"A","B")</f>
        <v>A</v>
      </c>
      <c r="M7" s="10" t="str">
        <f aca="false">IF(H7&lt;$C$2,"Margen bajo",IF(I7&lt;-$C$3,"Bajo mercado",IF(I7&gt;$C$3,"Sobre mercado","OK")))</f>
        <v>Sobre mercado</v>
      </c>
    </row>
    <row r="8" customFormat="false" ht="15" hidden="false" customHeight="false" outlineLevel="0" collapsed="false">
      <c r="A8" s="6" t="s">
        <v>25</v>
      </c>
      <c r="B8" s="6" t="s">
        <v>26</v>
      </c>
      <c r="C8" s="6" t="s">
        <v>121</v>
      </c>
      <c r="D8" s="7" t="n">
        <v>12.13</v>
      </c>
      <c r="E8" s="13" t="n">
        <f aca="false">ROUND(AVERAGE(INDEX(Antes_4_tarifarios!$C$5:$F$44,MATCH(A8,Antes_4_tarifarios!$A$5:$A$44,0),0)),2)</f>
        <v>23.49</v>
      </c>
      <c r="F8" s="7" t="n">
        <v>25</v>
      </c>
      <c r="G8" s="14" t="n">
        <v>3929</v>
      </c>
      <c r="H8" s="9" t="n">
        <f aca="false">(E8-D8)/E8</f>
        <v>0.483610046828438</v>
      </c>
      <c r="I8" s="9" t="n">
        <f aca="false">E8/F8-1</f>
        <v>-0.0604</v>
      </c>
      <c r="J8" s="15" t="n">
        <f aca="false">E8*G8</f>
        <v>92292.21</v>
      </c>
      <c r="K8" s="9" t="n">
        <f aca="false">SUM($J$6:J8)/SUM($J$6:$J$45)</f>
        <v>0.560731097231207</v>
      </c>
      <c r="L8" s="16" t="str">
        <f aca="false">IF(K8-J8/SUM($J$6:$J$45)&lt;0.8,"A","B")</f>
        <v>A</v>
      </c>
      <c r="M8" s="10" t="str">
        <f aca="false">IF(H8&lt;$C$2,"Margen bajo",IF(I8&lt;-$C$3,"Bajo mercado",IF(I8&gt;$C$3,"Sobre mercado","OK")))</f>
        <v>OK</v>
      </c>
    </row>
    <row r="9" customFormat="false" ht="15" hidden="false" customHeight="false" outlineLevel="0" collapsed="false">
      <c r="A9" s="6" t="s">
        <v>57</v>
      </c>
      <c r="B9" s="6" t="s">
        <v>58</v>
      </c>
      <c r="C9" s="6" t="s">
        <v>122</v>
      </c>
      <c r="D9" s="7" t="n">
        <v>23.61</v>
      </c>
      <c r="E9" s="13" t="n">
        <f aca="false">ROUND(AVERAGE(INDEX(Antes_4_tarifarios!$C$5:$F$44,MATCH(A9,Antes_4_tarifarios!$A$5:$A$44,0),0)),2)</f>
        <v>30.22</v>
      </c>
      <c r="F9" s="7" t="n">
        <v>35</v>
      </c>
      <c r="G9" s="14" t="n">
        <v>2350</v>
      </c>
      <c r="H9" s="9" t="n">
        <f aca="false">(E9-D9)/E9</f>
        <v>0.21872931833223</v>
      </c>
      <c r="I9" s="9" t="n">
        <f aca="false">E9/F9-1</f>
        <v>-0.136571428571429</v>
      </c>
      <c r="J9" s="15" t="n">
        <f aca="false">E9*G9</f>
        <v>71017</v>
      </c>
      <c r="K9" s="9" t="n">
        <f aca="false">SUM($J$6:J9)/SUM($J$6:$J$45)</f>
        <v>0.643557455352497</v>
      </c>
      <c r="L9" s="16" t="str">
        <f aca="false">IF(K9-J9/SUM($J$6:$J$45)&lt;0.8,"A","B")</f>
        <v>A</v>
      </c>
      <c r="M9" s="10" t="str">
        <f aca="false">IF(H9&lt;$C$2,"Margen bajo",IF(I9&lt;-$C$3,"Bajo mercado",IF(I9&gt;$C$3,"Sobre mercado","OK")))</f>
        <v>Bajo mercado</v>
      </c>
    </row>
    <row r="10" customFormat="false" ht="15" hidden="false" customHeight="false" outlineLevel="0" collapsed="false">
      <c r="A10" s="6" t="s">
        <v>99</v>
      </c>
      <c r="B10" s="6" t="s">
        <v>100</v>
      </c>
      <c r="C10" s="6" t="s">
        <v>123</v>
      </c>
      <c r="D10" s="7" t="n">
        <v>362.35</v>
      </c>
      <c r="E10" s="13" t="n">
        <f aca="false">ROUND(AVERAGE(INDEX(Antes_4_tarifarios!$C$5:$F$44,MATCH(A10,Antes_4_tarifarios!$A$5:$A$44,0),0)),2)</f>
        <v>708.88</v>
      </c>
      <c r="F10" s="7" t="n">
        <v>750</v>
      </c>
      <c r="G10" s="14" t="n">
        <v>51</v>
      </c>
      <c r="H10" s="9" t="n">
        <f aca="false">(E10-D10)/E10</f>
        <v>0.488841552872136</v>
      </c>
      <c r="I10" s="9" t="n">
        <f aca="false">E10/F10-1</f>
        <v>-0.0548266666666667</v>
      </c>
      <c r="J10" s="15" t="n">
        <f aca="false">E10*G10</f>
        <v>36152.88</v>
      </c>
      <c r="K10" s="9" t="n">
        <f aca="false">SUM($J$6:J10)/SUM($J$6:$J$45)</f>
        <v>0.685722167829735</v>
      </c>
      <c r="L10" s="16" t="str">
        <f aca="false">IF(K10-J10/SUM($J$6:$J$45)&lt;0.8,"A","B")</f>
        <v>A</v>
      </c>
      <c r="M10" s="10" t="str">
        <f aca="false">IF(H10&lt;$C$2,"Margen bajo",IF(I10&lt;-$C$3,"Bajo mercado",IF(I10&gt;$C$3,"Sobre mercado","OK")))</f>
        <v>OK</v>
      </c>
    </row>
    <row r="11" customFormat="false" ht="15" hidden="false" customHeight="false" outlineLevel="0" collapsed="false">
      <c r="A11" s="6" t="s">
        <v>103</v>
      </c>
      <c r="B11" s="6" t="s">
        <v>104</v>
      </c>
      <c r="C11" s="6" t="s">
        <v>123</v>
      </c>
      <c r="D11" s="7" t="n">
        <v>388.92</v>
      </c>
      <c r="E11" s="13" t="n">
        <f aca="false">ROUND(AVERAGE(INDEX(Antes_4_tarifarios!$C$5:$F$44,MATCH(A11,Antes_4_tarifarios!$A$5:$A$44,0),0)),2)</f>
        <v>750.83</v>
      </c>
      <c r="F11" s="7" t="n">
        <v>650</v>
      </c>
      <c r="G11" s="14" t="n">
        <v>40</v>
      </c>
      <c r="H11" s="9" t="n">
        <f aca="false">(E11-D11)/E11</f>
        <v>0.482013238682525</v>
      </c>
      <c r="I11" s="9" t="n">
        <f aca="false">E11/F11-1</f>
        <v>0.155123076923077</v>
      </c>
      <c r="J11" s="15" t="n">
        <f aca="false">E11*G11</f>
        <v>30033.2</v>
      </c>
      <c r="K11" s="9" t="n">
        <f aca="false">SUM($J$6:J11)/SUM($J$6:$J$45)</f>
        <v>0.72074956378744</v>
      </c>
      <c r="L11" s="16" t="str">
        <f aca="false">IF(K11-J11/SUM($J$6:$J$45)&lt;0.8,"A","B")</f>
        <v>A</v>
      </c>
      <c r="M11" s="10" t="str">
        <f aca="false">IF(H11&lt;$C$2,"Margen bajo",IF(I11&lt;-$C$3,"Bajo mercado",IF(I11&gt;$C$3,"Sobre mercado","OK")))</f>
        <v>Sobre mercado</v>
      </c>
    </row>
    <row r="12" customFormat="false" ht="15" hidden="false" customHeight="false" outlineLevel="0" collapsed="false">
      <c r="A12" s="6" t="s">
        <v>59</v>
      </c>
      <c r="B12" s="6" t="s">
        <v>60</v>
      </c>
      <c r="C12" s="6" t="s">
        <v>122</v>
      </c>
      <c r="D12" s="7" t="n">
        <v>31.36</v>
      </c>
      <c r="E12" s="13" t="n">
        <f aca="false">ROUND(AVERAGE(INDEX(Antes_4_tarifarios!$C$5:$F$44,MATCH(A12,Antes_4_tarifarios!$A$5:$A$44,0),0)),2)</f>
        <v>43.24</v>
      </c>
      <c r="F12" s="7" t="n">
        <v>42</v>
      </c>
      <c r="G12" s="14" t="n">
        <v>677</v>
      </c>
      <c r="H12" s="9" t="n">
        <f aca="false">(E12-D12)/E12</f>
        <v>0.274745605920444</v>
      </c>
      <c r="I12" s="9" t="n">
        <f aca="false">E12/F12-1</f>
        <v>0.0295238095238095</v>
      </c>
      <c r="J12" s="15" t="n">
        <f aca="false">E12*G12</f>
        <v>29273.48</v>
      </c>
      <c r="K12" s="9" t="n">
        <f aca="false">SUM($J$6:J12)/SUM($J$6:$J$45)</f>
        <v>0.754890906535463</v>
      </c>
      <c r="L12" s="16" t="str">
        <f aca="false">IF(K12-J12/SUM($J$6:$J$45)&lt;0.8,"A","B")</f>
        <v>A</v>
      </c>
      <c r="M12" s="10" t="str">
        <f aca="false">IF(H12&lt;$C$2,"Margen bajo",IF(I12&lt;-$C$3,"Bajo mercado",IF(I12&gt;$C$3,"Sobre mercado","OK")))</f>
        <v>OK</v>
      </c>
    </row>
    <row r="13" customFormat="false" ht="15" hidden="false" customHeight="false" outlineLevel="0" collapsed="false">
      <c r="A13" s="6" t="s">
        <v>33</v>
      </c>
      <c r="B13" s="6" t="s">
        <v>34</v>
      </c>
      <c r="C13" s="6" t="s">
        <v>121</v>
      </c>
      <c r="D13" s="7" t="n">
        <v>17.51</v>
      </c>
      <c r="E13" s="13" t="n">
        <f aca="false">ROUND(AVERAGE(INDEX(Antes_4_tarifarios!$C$5:$F$44,MATCH(A13,Antes_4_tarifarios!$A$5:$A$44,0),0)),2)</f>
        <v>41.47</v>
      </c>
      <c r="F13" s="7" t="n">
        <v>40</v>
      </c>
      <c r="G13" s="14" t="n">
        <v>424</v>
      </c>
      <c r="H13" s="9" t="n">
        <f aca="false">(E13-D13)/E13</f>
        <v>0.577767060525681</v>
      </c>
      <c r="I13" s="9" t="n">
        <f aca="false">E13/F13-1</f>
        <v>0.0367500000000001</v>
      </c>
      <c r="J13" s="15" t="n">
        <f aca="false">E13*G13</f>
        <v>17583.28</v>
      </c>
      <c r="K13" s="9" t="n">
        <f aca="false">SUM($J$6:J13)/SUM($J$6:$J$45)</f>
        <v>0.775398095606065</v>
      </c>
      <c r="L13" s="16" t="str">
        <f aca="false">IF(K13-J13/SUM($J$6:$J$45)&lt;0.8,"A","B")</f>
        <v>A</v>
      </c>
      <c r="M13" s="10" t="str">
        <f aca="false">IF(H13&lt;$C$2,"Margen bajo",IF(I13&lt;-$C$3,"Bajo mercado",IF(I13&gt;$C$3,"Sobre mercado","OK")))</f>
        <v>OK</v>
      </c>
    </row>
    <row r="14" customFormat="false" ht="15" hidden="false" customHeight="false" outlineLevel="0" collapsed="false">
      <c r="A14" s="6" t="s">
        <v>63</v>
      </c>
      <c r="B14" s="6" t="s">
        <v>64</v>
      </c>
      <c r="C14" s="6" t="s">
        <v>122</v>
      </c>
      <c r="D14" s="7" t="n">
        <v>30.48</v>
      </c>
      <c r="E14" s="13" t="n">
        <f aca="false">ROUND(AVERAGE(INDEX(Antes_4_tarifarios!$C$5:$F$44,MATCH(A14,Antes_4_tarifarios!$A$5:$A$44,0),0)),2)</f>
        <v>49.01</v>
      </c>
      <c r="F14" s="7" t="n">
        <v>55</v>
      </c>
      <c r="G14" s="14" t="n">
        <v>349</v>
      </c>
      <c r="H14" s="9" t="n">
        <f aca="false">(E14-D14)/E14</f>
        <v>0.378086104876556</v>
      </c>
      <c r="I14" s="9" t="n">
        <f aca="false">E14/F14-1</f>
        <v>-0.108909090909091</v>
      </c>
      <c r="J14" s="15" t="n">
        <f aca="false">E14*G14</f>
        <v>17104.49</v>
      </c>
      <c r="K14" s="9" t="n">
        <f aca="false">SUM($J$6:J14)/SUM($J$6:$J$45)</f>
        <v>0.795346877084049</v>
      </c>
      <c r="L14" s="16" t="str">
        <f aca="false">IF(K14-J14/SUM($J$6:$J$45)&lt;0.8,"A","B")</f>
        <v>A</v>
      </c>
      <c r="M14" s="10" t="str">
        <f aca="false">IF(H14&lt;$C$2,"Margen bajo",IF(I14&lt;-$C$3,"Bajo mercado",IF(I14&gt;$C$3,"Sobre mercado","OK")))</f>
        <v>Bajo mercado</v>
      </c>
    </row>
    <row r="15" customFormat="false" ht="15" hidden="false" customHeight="false" outlineLevel="0" collapsed="false">
      <c r="A15" s="6" t="s">
        <v>67</v>
      </c>
      <c r="B15" s="6" t="s">
        <v>68</v>
      </c>
      <c r="C15" s="6" t="s">
        <v>122</v>
      </c>
      <c r="D15" s="7" t="n">
        <v>154.77</v>
      </c>
      <c r="E15" s="13" t="n">
        <f aca="false">ROUND(AVERAGE(INDEX(Antes_4_tarifarios!$C$5:$F$44,MATCH(A15,Antes_4_tarifarios!$A$5:$A$44,0),0)),2)</f>
        <v>211.66</v>
      </c>
      <c r="F15" s="7" t="n">
        <v>220</v>
      </c>
      <c r="G15" s="14" t="n">
        <v>80</v>
      </c>
      <c r="H15" s="9" t="n">
        <f aca="false">(E15-D15)/E15</f>
        <v>0.268780119058868</v>
      </c>
      <c r="I15" s="9" t="n">
        <f aca="false">E15/F15-1</f>
        <v>-0.0379090909090909</v>
      </c>
      <c r="J15" s="15" t="n">
        <f aca="false">E15*G15</f>
        <v>16932.8</v>
      </c>
      <c r="K15" s="9" t="n">
        <f aca="false">SUM($J$6:J15)/SUM($J$6:$J$45)</f>
        <v>0.815095418374109</v>
      </c>
      <c r="L15" s="16" t="str">
        <f aca="false">IF(K15-J15/SUM($J$6:$J$45)&lt;0.8,"A","B")</f>
        <v>A</v>
      </c>
      <c r="M15" s="10" t="str">
        <f aca="false">IF(H15&lt;$C$2,"Margen bajo",IF(I15&lt;-$C$3,"Bajo mercado",IF(I15&gt;$C$3,"Sobre mercado","OK")))</f>
        <v>OK</v>
      </c>
    </row>
    <row r="16" customFormat="false" ht="15" hidden="false" customHeight="false" outlineLevel="0" collapsed="false">
      <c r="A16" s="6" t="s">
        <v>35</v>
      </c>
      <c r="B16" s="6" t="s">
        <v>36</v>
      </c>
      <c r="C16" s="6" t="s">
        <v>121</v>
      </c>
      <c r="D16" s="7" t="n">
        <v>19.97</v>
      </c>
      <c r="E16" s="13" t="n">
        <f aca="false">ROUND(AVERAGE(INDEX(Antes_4_tarifarios!$C$5:$F$44,MATCH(A16,Antes_4_tarifarios!$A$5:$A$44,0),0)),2)</f>
        <v>36.45</v>
      </c>
      <c r="F16" s="7" t="n">
        <v>38</v>
      </c>
      <c r="G16" s="14" t="n">
        <v>356</v>
      </c>
      <c r="H16" s="9" t="n">
        <f aca="false">(E16-D16)/E16</f>
        <v>0.452126200274349</v>
      </c>
      <c r="I16" s="9" t="n">
        <f aca="false">E16/F16-1</f>
        <v>-0.0407894736842105</v>
      </c>
      <c r="J16" s="15" t="n">
        <f aca="false">E16*G16</f>
        <v>12976.2</v>
      </c>
      <c r="K16" s="9" t="n">
        <f aca="false">SUM($J$6:J16)/SUM($J$6:$J$45)</f>
        <v>0.830229419926603</v>
      </c>
      <c r="L16" s="16" t="str">
        <f aca="false">IF(K16-J16/SUM($J$6:$J$45)&lt;0.8,"A","B")</f>
        <v>B</v>
      </c>
      <c r="M16" s="10" t="str">
        <f aca="false">IF(H16&lt;$C$2,"Margen bajo",IF(I16&lt;-$C$3,"Bajo mercado",IF(I16&gt;$C$3,"Sobre mercado","OK")))</f>
        <v>OK</v>
      </c>
    </row>
    <row r="17" customFormat="false" ht="15" hidden="false" customHeight="false" outlineLevel="0" collapsed="false">
      <c r="A17" s="6" t="s">
        <v>97</v>
      </c>
      <c r="B17" s="6" t="s">
        <v>98</v>
      </c>
      <c r="C17" s="6" t="s">
        <v>123</v>
      </c>
      <c r="D17" s="7" t="n">
        <v>366.91</v>
      </c>
      <c r="E17" s="13" t="n">
        <f aca="false">ROUND(AVERAGE(INDEX(Antes_4_tarifarios!$C$5:$F$44,MATCH(A17,Antes_4_tarifarios!$A$5:$A$44,0),0)),2)</f>
        <v>929.57</v>
      </c>
      <c r="F17" s="7" t="n">
        <v>900</v>
      </c>
      <c r="G17" s="14" t="n">
        <v>13</v>
      </c>
      <c r="H17" s="9" t="n">
        <f aca="false">(E17-D17)/E17</f>
        <v>0.605290618242844</v>
      </c>
      <c r="I17" s="9" t="n">
        <f aca="false">E17/F17-1</f>
        <v>0.0328555555555556</v>
      </c>
      <c r="J17" s="15" t="n">
        <f aca="false">E17*G17</f>
        <v>12084.41</v>
      </c>
      <c r="K17" s="9" t="n">
        <f aca="false">SUM($J$6:J17)/SUM($J$6:$J$45)</f>
        <v>0.844323336458483</v>
      </c>
      <c r="L17" s="16" t="str">
        <f aca="false">IF(K17-J17/SUM($J$6:$J$45)&lt;0.8,"A","B")</f>
        <v>B</v>
      </c>
      <c r="M17" s="10" t="str">
        <f aca="false">IF(H17&lt;$C$2,"Margen bajo",IF(I17&lt;-$C$3,"Bajo mercado",IF(I17&gt;$C$3,"Sobre mercado","OK")))</f>
        <v>OK</v>
      </c>
    </row>
    <row r="18" customFormat="false" ht="15" hidden="false" customHeight="false" outlineLevel="0" collapsed="false">
      <c r="A18" s="6" t="s">
        <v>71</v>
      </c>
      <c r="B18" s="6" t="s">
        <v>72</v>
      </c>
      <c r="C18" s="6" t="s">
        <v>124</v>
      </c>
      <c r="D18" s="7" t="n">
        <v>43.73</v>
      </c>
      <c r="E18" s="13" t="n">
        <f aca="false">ROUND(AVERAGE(INDEX(Antes_4_tarifarios!$C$5:$F$44,MATCH(A18,Antes_4_tarifarios!$A$5:$A$44,0),0)),2)</f>
        <v>86.95</v>
      </c>
      <c r="F18" s="7" t="n">
        <v>85</v>
      </c>
      <c r="G18" s="14" t="n">
        <v>127</v>
      </c>
      <c r="H18" s="9" t="n">
        <f aca="false">(E18-D18)/E18</f>
        <v>0.497067280046004</v>
      </c>
      <c r="I18" s="9" t="n">
        <f aca="false">E18/F18-1</f>
        <v>0.0229411764705882</v>
      </c>
      <c r="J18" s="15" t="n">
        <f aca="false">E18*G18</f>
        <v>11042.65</v>
      </c>
      <c r="K18" s="9" t="n">
        <f aca="false">SUM($J$6:J18)/SUM($J$6:$J$45)</f>
        <v>0.857202259582637</v>
      </c>
      <c r="L18" s="16" t="str">
        <f aca="false">IF(K18-J18/SUM($J$6:$J$45)&lt;0.8,"A","B")</f>
        <v>B</v>
      </c>
      <c r="M18" s="10" t="str">
        <f aca="false">IF(H18&lt;$C$2,"Margen bajo",IF(I18&lt;-$C$3,"Bajo mercado",IF(I18&gt;$C$3,"Sobre mercado","OK")))</f>
        <v>OK</v>
      </c>
    </row>
    <row r="19" customFormat="false" ht="15" hidden="false" customHeight="false" outlineLevel="0" collapsed="false">
      <c r="A19" s="6" t="s">
        <v>39</v>
      </c>
      <c r="B19" s="6" t="s">
        <v>40</v>
      </c>
      <c r="C19" s="6" t="s">
        <v>125</v>
      </c>
      <c r="D19" s="7" t="n">
        <v>3.44</v>
      </c>
      <c r="E19" s="13" t="n">
        <f aca="false">ROUND(AVERAGE(INDEX(Antes_4_tarifarios!$C$5:$F$44,MATCH(A19,Antes_4_tarifarios!$A$5:$A$44,0),0)),2)</f>
        <v>7.89</v>
      </c>
      <c r="F19" s="7" t="n">
        <v>8</v>
      </c>
      <c r="G19" s="14" t="n">
        <v>1394</v>
      </c>
      <c r="H19" s="9" t="n">
        <f aca="false">(E19-D19)/E19</f>
        <v>0.564005069708492</v>
      </c>
      <c r="I19" s="9" t="n">
        <f aca="false">E19/F19-1</f>
        <v>-0.01375</v>
      </c>
      <c r="J19" s="15" t="n">
        <f aca="false">E19*G19</f>
        <v>10998.66</v>
      </c>
      <c r="K19" s="9" t="n">
        <f aca="false">SUM($J$6:J19)/SUM($J$6:$J$45)</f>
        <v>0.870029877646119</v>
      </c>
      <c r="L19" s="16" t="str">
        <f aca="false">IF(K19-J19/SUM($J$6:$J$45)&lt;0.8,"A","B")</f>
        <v>B</v>
      </c>
      <c r="M19" s="10" t="str">
        <f aca="false">IF(H19&lt;$C$2,"Margen bajo",IF(I19&lt;-$C$3,"Bajo mercado",IF(I19&gt;$C$3,"Sobre mercado","OK")))</f>
        <v>OK</v>
      </c>
    </row>
    <row r="20" customFormat="false" ht="15" hidden="false" customHeight="false" outlineLevel="0" collapsed="false">
      <c r="A20" s="6" t="s">
        <v>95</v>
      </c>
      <c r="B20" s="6" t="s">
        <v>96</v>
      </c>
      <c r="C20" s="6" t="s">
        <v>123</v>
      </c>
      <c r="D20" s="7" t="n">
        <v>242.37</v>
      </c>
      <c r="E20" s="13" t="n">
        <f aca="false">ROUND(AVERAGE(INDEX(Antes_4_tarifarios!$C$5:$F$44,MATCH(A20,Antes_4_tarifarios!$A$5:$A$44,0),0)),2)</f>
        <v>504.04</v>
      </c>
      <c r="F20" s="7" t="n">
        <v>480</v>
      </c>
      <c r="G20" s="14" t="n">
        <v>20</v>
      </c>
      <c r="H20" s="9" t="n">
        <f aca="false">(E20-D20)/E20</f>
        <v>0.519145305928101</v>
      </c>
      <c r="I20" s="9" t="n">
        <f aca="false">E20/F20-1</f>
        <v>0.0500833333333335</v>
      </c>
      <c r="J20" s="15" t="n">
        <f aca="false">E20*G20</f>
        <v>10080.8</v>
      </c>
      <c r="K20" s="9" t="n">
        <f aca="false">SUM($J$6:J20)/SUM($J$6:$J$45)</f>
        <v>0.881787005530275</v>
      </c>
      <c r="L20" s="16" t="str">
        <f aca="false">IF(K20-J20/SUM($J$6:$J$45)&lt;0.8,"A","B")</f>
        <v>B</v>
      </c>
      <c r="M20" s="10" t="str">
        <f aca="false">IF(H20&lt;$C$2,"Margen bajo",IF(I20&lt;-$C$3,"Bajo mercado",IF(I20&gt;$C$3,"Sobre mercado","OK")))</f>
        <v>OK</v>
      </c>
    </row>
    <row r="21" customFormat="false" ht="15" hidden="false" customHeight="false" outlineLevel="0" collapsed="false">
      <c r="A21" s="6" t="s">
        <v>37</v>
      </c>
      <c r="B21" s="6" t="s">
        <v>38</v>
      </c>
      <c r="C21" s="6" t="s">
        <v>121</v>
      </c>
      <c r="D21" s="7" t="n">
        <v>19.81</v>
      </c>
      <c r="E21" s="13" t="n">
        <f aca="false">ROUND(AVERAGE(INDEX(Antes_4_tarifarios!$C$5:$F$44,MATCH(A21,Antes_4_tarifarios!$A$5:$A$44,0),0)),2)</f>
        <v>33.49</v>
      </c>
      <c r="F21" s="7" t="n">
        <v>35</v>
      </c>
      <c r="G21" s="14" t="n">
        <v>282</v>
      </c>
      <c r="H21" s="9" t="n">
        <f aca="false">(E21-D21)/E21</f>
        <v>0.408480143326366</v>
      </c>
      <c r="I21" s="9" t="n">
        <f aca="false">E21/F21-1</f>
        <v>-0.043142857142857</v>
      </c>
      <c r="J21" s="15" t="n">
        <f aca="false">E21*G21</f>
        <v>9444.18</v>
      </c>
      <c r="K21" s="9" t="n">
        <f aca="false">SUM($J$6:J21)/SUM($J$6:$J$45)</f>
        <v>0.892801650401812</v>
      </c>
      <c r="L21" s="16" t="str">
        <f aca="false">IF(K21-J21/SUM($J$6:$J$45)&lt;0.8,"A","B")</f>
        <v>B</v>
      </c>
      <c r="M21" s="10" t="str">
        <f aca="false">IF(H21&lt;$C$2,"Margen bajo",IF(I21&lt;-$C$3,"Bajo mercado",IF(I21&gt;$C$3,"Sobre mercado","OK")))</f>
        <v>OK</v>
      </c>
    </row>
    <row r="22" customFormat="false" ht="15" hidden="false" customHeight="false" outlineLevel="0" collapsed="false">
      <c r="A22" s="6" t="s">
        <v>41</v>
      </c>
      <c r="B22" s="6" t="s">
        <v>42</v>
      </c>
      <c r="C22" s="6" t="s">
        <v>125</v>
      </c>
      <c r="D22" s="7" t="n">
        <v>2.74</v>
      </c>
      <c r="E22" s="13" t="n">
        <f aca="false">ROUND(AVERAGE(INDEX(Antes_4_tarifarios!$C$5:$F$44,MATCH(A22,Antes_4_tarifarios!$A$5:$A$44,0),0)),2)</f>
        <v>3.8</v>
      </c>
      <c r="F22" s="7" t="n">
        <v>4</v>
      </c>
      <c r="G22" s="14" t="n">
        <v>2412</v>
      </c>
      <c r="H22" s="9" t="n">
        <f aca="false">(E22-D22)/E22</f>
        <v>0.278947368421053</v>
      </c>
      <c r="I22" s="9" t="n">
        <f aca="false">E22/F22-1</f>
        <v>-0.05</v>
      </c>
      <c r="J22" s="15" t="n">
        <f aca="false">E22*G22</f>
        <v>9165.6</v>
      </c>
      <c r="K22" s="9" t="n">
        <f aca="false">SUM($J$6:J22)/SUM($J$6:$J$45)</f>
        <v>0.903491390435839</v>
      </c>
      <c r="L22" s="16" t="str">
        <f aca="false">IF(K22-J22/SUM($J$6:$J$45)&lt;0.8,"A","B")</f>
        <v>B</v>
      </c>
      <c r="M22" s="10" t="str">
        <f aca="false">IF(H22&lt;$C$2,"Margen bajo",IF(I22&lt;-$C$3,"Bajo mercado",IF(I22&gt;$C$3,"Sobre mercado","OK")))</f>
        <v>OK</v>
      </c>
    </row>
    <row r="23" customFormat="false" ht="15" hidden="false" customHeight="false" outlineLevel="0" collapsed="false">
      <c r="A23" s="6" t="s">
        <v>65</v>
      </c>
      <c r="B23" s="6" t="s">
        <v>66</v>
      </c>
      <c r="C23" s="6" t="s">
        <v>122</v>
      </c>
      <c r="D23" s="7" t="n">
        <v>71.77</v>
      </c>
      <c r="E23" s="13" t="n">
        <f aca="false">ROUND(AVERAGE(INDEX(Antes_4_tarifarios!$C$5:$F$44,MATCH(A23,Antes_4_tarifarios!$A$5:$A$44,0),0)),2)</f>
        <v>128.42</v>
      </c>
      <c r="F23" s="7" t="n">
        <v>150</v>
      </c>
      <c r="G23" s="14" t="n">
        <v>70</v>
      </c>
      <c r="H23" s="9" t="n">
        <f aca="false">(E23-D23)/E23</f>
        <v>0.441130665005451</v>
      </c>
      <c r="I23" s="9" t="n">
        <f aca="false">E23/F23-1</f>
        <v>-0.143866666666667</v>
      </c>
      <c r="J23" s="15" t="n">
        <f aca="false">E23*G23</f>
        <v>8989.4</v>
      </c>
      <c r="K23" s="9" t="n">
        <f aca="false">SUM($J$6:J23)/SUM($J$6:$J$45)</f>
        <v>0.913975630317776</v>
      </c>
      <c r="L23" s="16" t="str">
        <f aca="false">IF(K23-J23/SUM($J$6:$J$45)&lt;0.8,"A","B")</f>
        <v>B</v>
      </c>
      <c r="M23" s="10" t="str">
        <f aca="false">IF(H23&lt;$C$2,"Margen bajo",IF(I23&lt;-$C$3,"Bajo mercado",IF(I23&gt;$C$3,"Sobre mercado","OK")))</f>
        <v>Bajo mercado</v>
      </c>
    </row>
    <row r="24" customFormat="false" ht="15" hidden="false" customHeight="false" outlineLevel="0" collapsed="false">
      <c r="A24" s="6" t="s">
        <v>27</v>
      </c>
      <c r="B24" s="6" t="s">
        <v>28</v>
      </c>
      <c r="C24" s="6" t="s">
        <v>121</v>
      </c>
      <c r="D24" s="7" t="n">
        <v>16.87</v>
      </c>
      <c r="E24" s="13" t="n">
        <f aca="false">ROUND(AVERAGE(INDEX(Antes_4_tarifarios!$C$5:$F$44,MATCH(A24,Antes_4_tarifarios!$A$5:$A$44,0),0)),2)</f>
        <v>30.14</v>
      </c>
      <c r="F24" s="7" t="n">
        <v>30</v>
      </c>
      <c r="G24" s="14" t="n">
        <v>244</v>
      </c>
      <c r="H24" s="9" t="n">
        <f aca="false">(E24-D24)/E24</f>
        <v>0.440278699402787</v>
      </c>
      <c r="I24" s="9" t="n">
        <f aca="false">E24/F24-1</f>
        <v>0.0046666666666666</v>
      </c>
      <c r="J24" s="15" t="n">
        <f aca="false">E24*G24</f>
        <v>7354.16</v>
      </c>
      <c r="K24" s="9" t="n">
        <f aca="false">SUM($J$6:J24)/SUM($J$6:$J$45)</f>
        <v>0.922552707494244</v>
      </c>
      <c r="L24" s="16" t="str">
        <f aca="false">IF(K24-J24/SUM($J$6:$J$45)&lt;0.8,"A","B")</f>
        <v>B</v>
      </c>
      <c r="M24" s="10" t="str">
        <f aca="false">IF(H24&lt;$C$2,"Margen bajo",IF(I24&lt;-$C$3,"Bajo mercado",IF(I24&gt;$C$3,"Sobre mercado","OK")))</f>
        <v>OK</v>
      </c>
    </row>
    <row r="25" customFormat="false" ht="15" hidden="false" customHeight="false" outlineLevel="0" collapsed="false">
      <c r="A25" s="6" t="s">
        <v>45</v>
      </c>
      <c r="B25" s="6" t="s">
        <v>46</v>
      </c>
      <c r="C25" s="6" t="s">
        <v>125</v>
      </c>
      <c r="D25" s="7" t="n">
        <v>3.29</v>
      </c>
      <c r="E25" s="13" t="n">
        <f aca="false">ROUND(AVERAGE(INDEX(Antes_4_tarifarios!$C$5:$F$44,MATCH(A25,Antes_4_tarifarios!$A$5:$A$44,0),0)),2)</f>
        <v>4.8</v>
      </c>
      <c r="F25" s="7" t="n">
        <v>5</v>
      </c>
      <c r="G25" s="14" t="n">
        <v>1380</v>
      </c>
      <c r="H25" s="9" t="n">
        <f aca="false">(E25-D25)/E25</f>
        <v>0.314583333333333</v>
      </c>
      <c r="I25" s="9" t="n">
        <f aca="false">E25/F25-1</f>
        <v>-0.04</v>
      </c>
      <c r="J25" s="15" t="n">
        <f aca="false">E25*G25</f>
        <v>6624</v>
      </c>
      <c r="K25" s="9" t="n">
        <f aca="false">SUM($J$6:J25)/SUM($J$6:$J$45)</f>
        <v>0.930278206968953</v>
      </c>
      <c r="L25" s="16" t="str">
        <f aca="false">IF(K25-J25/SUM($J$6:$J$45)&lt;0.8,"A","B")</f>
        <v>B</v>
      </c>
      <c r="M25" s="10" t="str">
        <f aca="false">IF(H25&lt;$C$2,"Margen bajo",IF(I25&lt;-$C$3,"Bajo mercado",IF(I25&gt;$C$3,"Sobre mercado","OK")))</f>
        <v>OK</v>
      </c>
    </row>
    <row r="26" customFormat="false" ht="15" hidden="false" customHeight="false" outlineLevel="0" collapsed="false">
      <c r="A26" s="6" t="s">
        <v>101</v>
      </c>
      <c r="B26" s="6" t="s">
        <v>102</v>
      </c>
      <c r="C26" s="6" t="s">
        <v>123</v>
      </c>
      <c r="D26" s="7" t="n">
        <v>561.79</v>
      </c>
      <c r="E26" s="13" t="n">
        <f aca="false">ROUND(AVERAGE(INDEX(Antes_4_tarifarios!$C$5:$F$44,MATCH(A26,Antes_4_tarifarios!$A$5:$A$44,0),0)),2)</f>
        <v>931.46</v>
      </c>
      <c r="F26" s="7" t="n">
        <v>1100</v>
      </c>
      <c r="G26" s="14" t="n">
        <v>6</v>
      </c>
      <c r="H26" s="9" t="n">
        <f aca="false">(E26-D26)/E26</f>
        <v>0.396871577952891</v>
      </c>
      <c r="I26" s="9" t="n">
        <f aca="false">E26/F26-1</f>
        <v>-0.153218181818182</v>
      </c>
      <c r="J26" s="15" t="n">
        <f aca="false">E26*G26</f>
        <v>5588.76</v>
      </c>
      <c r="K26" s="9" t="n">
        <f aca="false">SUM($J$6:J26)/SUM($J$6:$J$45)</f>
        <v>0.936796317241338</v>
      </c>
      <c r="L26" s="16" t="str">
        <f aca="false">IF(K26-J26/SUM($J$6:$J$45)&lt;0.8,"A","B")</f>
        <v>B</v>
      </c>
      <c r="M26" s="10" t="str">
        <f aca="false">IF(H26&lt;$C$2,"Margen bajo",IF(I26&lt;-$C$3,"Bajo mercado",IF(I26&gt;$C$3,"Sobre mercado","OK")))</f>
        <v>Bajo mercado</v>
      </c>
    </row>
    <row r="27" customFormat="false" ht="15" hidden="false" customHeight="false" outlineLevel="0" collapsed="false">
      <c r="A27" s="6" t="s">
        <v>49</v>
      </c>
      <c r="B27" s="6" t="s">
        <v>50</v>
      </c>
      <c r="C27" s="6" t="s">
        <v>125</v>
      </c>
      <c r="D27" s="7" t="n">
        <v>7.49</v>
      </c>
      <c r="E27" s="13" t="n">
        <f aca="false">ROUND(AVERAGE(INDEX(Antes_4_tarifarios!$C$5:$F$44,MATCH(A27,Antes_4_tarifarios!$A$5:$A$44,0),0)),2)</f>
        <v>12.84</v>
      </c>
      <c r="F27" s="7" t="n">
        <v>14</v>
      </c>
      <c r="G27" s="14" t="n">
        <v>428</v>
      </c>
      <c r="H27" s="9" t="n">
        <f aca="false">(E27-D27)/E27</f>
        <v>0.416666666666667</v>
      </c>
      <c r="I27" s="9" t="n">
        <f aca="false">E27/F27-1</f>
        <v>-0.0828571428571429</v>
      </c>
      <c r="J27" s="15" t="n">
        <f aca="false">E27*G27</f>
        <v>5495.52</v>
      </c>
      <c r="K27" s="9" t="n">
        <f aca="false">SUM($J$6:J27)/SUM($J$6:$J$45)</f>
        <v>0.943205682711334</v>
      </c>
      <c r="L27" s="16" t="str">
        <f aca="false">IF(K27-J27/SUM($J$6:$J$45)&lt;0.8,"A","B")</f>
        <v>B</v>
      </c>
      <c r="M27" s="10" t="str">
        <f aca="false">IF(H27&lt;$C$2,"Margen bajo",IF(I27&lt;-$C$3,"Bajo mercado",IF(I27&gt;$C$3,"Sobre mercado","OK")))</f>
        <v>OK</v>
      </c>
    </row>
    <row r="28" customFormat="false" ht="15" hidden="false" customHeight="false" outlineLevel="0" collapsed="false">
      <c r="A28" s="6" t="s">
        <v>55</v>
      </c>
      <c r="B28" s="6" t="s">
        <v>56</v>
      </c>
      <c r="C28" s="6" t="s">
        <v>122</v>
      </c>
      <c r="D28" s="7" t="n">
        <v>20.11</v>
      </c>
      <c r="E28" s="13" t="n">
        <f aca="false">ROUND(AVERAGE(INDEX(Antes_4_tarifarios!$C$5:$F$44,MATCH(A28,Antes_4_tarifarios!$A$5:$A$44,0),0)),2)</f>
        <v>23.15</v>
      </c>
      <c r="F28" s="7" t="n">
        <v>28</v>
      </c>
      <c r="G28" s="14" t="n">
        <v>229</v>
      </c>
      <c r="H28" s="9" t="n">
        <f aca="false">(E28-D28)/E28</f>
        <v>0.131317494600432</v>
      </c>
      <c r="I28" s="9" t="n">
        <f aca="false">E28/F28-1</f>
        <v>-0.173214285714286</v>
      </c>
      <c r="J28" s="15" t="n">
        <f aca="false">E28*G28</f>
        <v>5301.35</v>
      </c>
      <c r="K28" s="9" t="n">
        <f aca="false">SUM($J$6:J28)/SUM($J$6:$J$45)</f>
        <v>0.949388589812821</v>
      </c>
      <c r="L28" s="16" t="str">
        <f aca="false">IF(K28-J28/SUM($J$6:$J$45)&lt;0.8,"A","B")</f>
        <v>B</v>
      </c>
      <c r="M28" s="10" t="str">
        <f aca="false">IF(H28&lt;$C$2,"Margen bajo",IF(I28&lt;-$C$3,"Bajo mercado",IF(I28&gt;$C$3,"Sobre mercado","OK")))</f>
        <v>Margen bajo</v>
      </c>
    </row>
    <row r="29" customFormat="false" ht="15" hidden="false" customHeight="false" outlineLevel="0" collapsed="false">
      <c r="A29" s="6" t="s">
        <v>91</v>
      </c>
      <c r="B29" s="6" t="s">
        <v>92</v>
      </c>
      <c r="C29" s="6" t="s">
        <v>120</v>
      </c>
      <c r="D29" s="7" t="n">
        <v>39.71</v>
      </c>
      <c r="E29" s="13" t="n">
        <f aca="false">ROUND(AVERAGE(INDEX(Antes_4_tarifarios!$C$5:$F$44,MATCH(A29,Antes_4_tarifarios!$A$5:$A$44,0),0)),2)</f>
        <v>99.88</v>
      </c>
      <c r="F29" s="7" t="n">
        <v>90</v>
      </c>
      <c r="G29" s="14" t="n">
        <v>52</v>
      </c>
      <c r="H29" s="9" t="n">
        <f aca="false">(E29-D29)/E29</f>
        <v>0.602422907488987</v>
      </c>
      <c r="I29" s="9" t="n">
        <f aca="false">E29/F29-1</f>
        <v>0.109777777777778</v>
      </c>
      <c r="J29" s="15" t="n">
        <f aca="false">E29*G29</f>
        <v>5193.76</v>
      </c>
      <c r="K29" s="9" t="n">
        <f aca="false">SUM($J$6:J29)/SUM($J$6:$J$45)</f>
        <v>0.955446015862303</v>
      </c>
      <c r="L29" s="16" t="str">
        <f aca="false">IF(K29-J29/SUM($J$6:$J$45)&lt;0.8,"A","B")</f>
        <v>B</v>
      </c>
      <c r="M29" s="10" t="str">
        <f aca="false">IF(H29&lt;$C$2,"Margen bajo",IF(I29&lt;-$C$3,"Bajo mercado",IF(I29&gt;$C$3,"Sobre mercado","OK")))</f>
        <v>Sobre mercado</v>
      </c>
    </row>
    <row r="30" customFormat="false" ht="15" hidden="false" customHeight="false" outlineLevel="0" collapsed="false">
      <c r="A30" s="6" t="s">
        <v>53</v>
      </c>
      <c r="B30" s="6" t="s">
        <v>54</v>
      </c>
      <c r="C30" s="6" t="s">
        <v>125</v>
      </c>
      <c r="D30" s="7" t="n">
        <v>4.46</v>
      </c>
      <c r="E30" s="13" t="n">
        <f aca="false">ROUND(AVERAGE(INDEX(Antes_4_tarifarios!$C$5:$F$44,MATCH(A30,Antes_4_tarifarios!$A$5:$A$44,0),0)),2)</f>
        <v>9.61</v>
      </c>
      <c r="F30" s="7" t="n">
        <v>9</v>
      </c>
      <c r="G30" s="14" t="n">
        <v>513</v>
      </c>
      <c r="H30" s="9" t="n">
        <f aca="false">(E30-D30)/E30</f>
        <v>0.535900104058273</v>
      </c>
      <c r="I30" s="9" t="n">
        <f aca="false">E30/F30-1</f>
        <v>0.0677777777777777</v>
      </c>
      <c r="J30" s="15" t="n">
        <f aca="false">E30*G30</f>
        <v>4929.93</v>
      </c>
      <c r="K30" s="9" t="n">
        <f aca="false">SUM($J$6:J30)/SUM($J$6:$J$45)</f>
        <v>0.96119573983956</v>
      </c>
      <c r="L30" s="16" t="str">
        <f aca="false">IF(K30-J30/SUM($J$6:$J$45)&lt;0.8,"A","B")</f>
        <v>B</v>
      </c>
      <c r="M30" s="10" t="str">
        <f aca="false">IF(H30&lt;$C$2,"Margen bajo",IF(I30&lt;-$C$3,"Bajo mercado",IF(I30&gt;$C$3,"Sobre mercado","OK")))</f>
        <v>OK</v>
      </c>
    </row>
    <row r="31" customFormat="false" ht="15" hidden="false" customHeight="false" outlineLevel="0" collapsed="false">
      <c r="A31" s="6" t="s">
        <v>87</v>
      </c>
      <c r="B31" s="6" t="s">
        <v>88</v>
      </c>
      <c r="C31" s="6" t="s">
        <v>126</v>
      </c>
      <c r="D31" s="7" t="n">
        <v>9.07</v>
      </c>
      <c r="E31" s="13" t="n">
        <f aca="false">ROUND(AVERAGE(INDEX(Antes_4_tarifarios!$C$5:$F$44,MATCH(A31,Antes_4_tarifarios!$A$5:$A$44,0),0)),2)</f>
        <v>17.68</v>
      </c>
      <c r="F31" s="7" t="n">
        <v>18</v>
      </c>
      <c r="G31" s="14" t="n">
        <v>218</v>
      </c>
      <c r="H31" s="9" t="n">
        <f aca="false">(E31-D31)/E31</f>
        <v>0.486990950226244</v>
      </c>
      <c r="I31" s="9" t="n">
        <f aca="false">E31/F31-1</f>
        <v>-0.0177777777777778</v>
      </c>
      <c r="J31" s="15" t="n">
        <f aca="false">E31*G31</f>
        <v>3854.24</v>
      </c>
      <c r="K31" s="9" t="n">
        <f aca="false">SUM($J$6:J31)/SUM($J$6:$J$45)</f>
        <v>0.965690898217489</v>
      </c>
      <c r="L31" s="16" t="str">
        <f aca="false">IF(K31-J31/SUM($J$6:$J$45)&lt;0.8,"A","B")</f>
        <v>B</v>
      </c>
      <c r="M31" s="10" t="str">
        <f aca="false">IF(H31&lt;$C$2,"Margen bajo",IF(I31&lt;-$C$3,"Bajo mercado",IF(I31&gt;$C$3,"Sobre mercado","OK")))</f>
        <v>OK</v>
      </c>
    </row>
    <row r="32" customFormat="false" ht="15" hidden="false" customHeight="false" outlineLevel="0" collapsed="false">
      <c r="A32" s="6" t="s">
        <v>85</v>
      </c>
      <c r="B32" s="6" t="s">
        <v>86</v>
      </c>
      <c r="C32" s="6" t="s">
        <v>124</v>
      </c>
      <c r="D32" s="7" t="n">
        <v>76.93</v>
      </c>
      <c r="E32" s="13" t="n">
        <f aca="false">ROUND(AVERAGE(INDEX(Antes_4_tarifarios!$C$5:$F$44,MATCH(A32,Antes_4_tarifarios!$A$5:$A$44,0),0)),2)</f>
        <v>159.98</v>
      </c>
      <c r="F32" s="7" t="n">
        <v>160</v>
      </c>
      <c r="G32" s="14" t="n">
        <v>24</v>
      </c>
      <c r="H32" s="9" t="n">
        <f aca="false">(E32-D32)/E32</f>
        <v>0.519127390923865</v>
      </c>
      <c r="I32" s="9" t="n">
        <f aca="false">E32/F32-1</f>
        <v>-0.000125000000000042</v>
      </c>
      <c r="J32" s="15" t="n">
        <f aca="false">E32*G32</f>
        <v>3839.52</v>
      </c>
      <c r="K32" s="9" t="n">
        <f aca="false">SUM($J$6:J32)/SUM($J$6:$J$45)</f>
        <v>0.970168888818808</v>
      </c>
      <c r="L32" s="16" t="str">
        <f aca="false">IF(K32-J32/SUM($J$6:$J$45)&lt;0.8,"A","B")</f>
        <v>B</v>
      </c>
      <c r="M32" s="10" t="str">
        <f aca="false">IF(H32&lt;$C$2,"Margen bajo",IF(I32&lt;-$C$3,"Bajo mercado",IF(I32&gt;$C$3,"Sobre mercado","OK")))</f>
        <v>OK</v>
      </c>
    </row>
    <row r="33" customFormat="false" ht="15" hidden="false" customHeight="false" outlineLevel="0" collapsed="false">
      <c r="A33" s="6" t="s">
        <v>73</v>
      </c>
      <c r="B33" s="6" t="s">
        <v>74</v>
      </c>
      <c r="C33" s="6" t="s">
        <v>124</v>
      </c>
      <c r="D33" s="7" t="n">
        <v>7.23</v>
      </c>
      <c r="E33" s="13" t="n">
        <f aca="false">ROUND(AVERAGE(INDEX(Antes_4_tarifarios!$C$5:$F$44,MATCH(A33,Antes_4_tarifarios!$A$5:$A$44,0),0)),2)</f>
        <v>12.9</v>
      </c>
      <c r="F33" s="7" t="n">
        <v>12</v>
      </c>
      <c r="G33" s="14" t="n">
        <v>251</v>
      </c>
      <c r="H33" s="9" t="n">
        <f aca="false">(E33-D33)/E33</f>
        <v>0.43953488372093</v>
      </c>
      <c r="I33" s="9" t="n">
        <f aca="false">E33/F33-1</f>
        <v>0.075</v>
      </c>
      <c r="J33" s="15" t="n">
        <f aca="false">E33*G33</f>
        <v>3237.9</v>
      </c>
      <c r="K33" s="9" t="n">
        <f aca="false">SUM($J$6:J33)/SUM($J$6:$J$45)</f>
        <v>0.973945216528524</v>
      </c>
      <c r="L33" s="16" t="str">
        <f aca="false">IF(K33-J33/SUM($J$6:$J$45)&lt;0.8,"A","B")</f>
        <v>B</v>
      </c>
      <c r="M33" s="10" t="str">
        <f aca="false">IF(H33&lt;$C$2,"Margen bajo",IF(I33&lt;-$C$3,"Bajo mercado",IF(I33&gt;$C$3,"Sobre mercado","OK")))</f>
        <v>OK</v>
      </c>
    </row>
    <row r="34" customFormat="false" ht="15" hidden="false" customHeight="false" outlineLevel="0" collapsed="false">
      <c r="A34" s="6" t="s">
        <v>75</v>
      </c>
      <c r="B34" s="6" t="s">
        <v>76</v>
      </c>
      <c r="C34" s="6" t="s">
        <v>124</v>
      </c>
      <c r="D34" s="7" t="n">
        <v>32.84</v>
      </c>
      <c r="E34" s="13" t="n">
        <f aca="false">ROUND(AVERAGE(INDEX(Antes_4_tarifarios!$C$5:$F$44,MATCH(A34,Antes_4_tarifarios!$A$5:$A$44,0),0)),2)</f>
        <v>38.4</v>
      </c>
      <c r="F34" s="7" t="n">
        <v>45</v>
      </c>
      <c r="G34" s="14" t="n">
        <v>70</v>
      </c>
      <c r="H34" s="9" t="n">
        <f aca="false">(E34-D34)/E34</f>
        <v>0.144791666666667</v>
      </c>
      <c r="I34" s="9" t="n">
        <f aca="false">E34/F34-1</f>
        <v>-0.146666666666667</v>
      </c>
      <c r="J34" s="15" t="n">
        <f aca="false">E34*G34</f>
        <v>2688</v>
      </c>
      <c r="K34" s="9" t="n">
        <f aca="false">SUM($J$6:J34)/SUM($J$6:$J$45)</f>
        <v>0.977080201822609</v>
      </c>
      <c r="L34" s="16" t="str">
        <f aca="false">IF(K34-J34/SUM($J$6:$J$45)&lt;0.8,"A","B")</f>
        <v>B</v>
      </c>
      <c r="M34" s="10" t="str">
        <f aca="false">IF(H34&lt;$C$2,"Margen bajo",IF(I34&lt;-$C$3,"Bajo mercado",IF(I34&gt;$C$3,"Sobre mercado","OK")))</f>
        <v>Margen bajo</v>
      </c>
    </row>
    <row r="35" customFormat="false" ht="15" hidden="false" customHeight="false" outlineLevel="0" collapsed="false">
      <c r="A35" s="6" t="s">
        <v>83</v>
      </c>
      <c r="B35" s="6" t="s">
        <v>84</v>
      </c>
      <c r="C35" s="6" t="s">
        <v>124</v>
      </c>
      <c r="D35" s="7" t="n">
        <v>56.77</v>
      </c>
      <c r="E35" s="13" t="n">
        <f aca="false">ROUND(AVERAGE(INDEX(Antes_4_tarifarios!$C$5:$F$44,MATCH(A35,Antes_4_tarifarios!$A$5:$A$44,0),0)),2)</f>
        <v>124.62</v>
      </c>
      <c r="F35" s="7" t="n">
        <v>130</v>
      </c>
      <c r="G35" s="14" t="n">
        <v>21</v>
      </c>
      <c r="H35" s="9" t="n">
        <f aca="false">(E35-D35)/E35</f>
        <v>0.544455143636655</v>
      </c>
      <c r="I35" s="9" t="n">
        <f aca="false">E35/F35-1</f>
        <v>-0.0413846153846154</v>
      </c>
      <c r="J35" s="15" t="n">
        <f aca="false">E35*G35</f>
        <v>2617.02</v>
      </c>
      <c r="K35" s="9" t="n">
        <f aca="false">SUM($J$6:J35)/SUM($J$6:$J$45)</f>
        <v>0.980132403911272</v>
      </c>
      <c r="L35" s="16" t="str">
        <f aca="false">IF(K35-J35/SUM($J$6:$J$45)&lt;0.8,"A","B")</f>
        <v>B</v>
      </c>
      <c r="M35" s="10" t="str">
        <f aca="false">IF(H35&lt;$C$2,"Margen bajo",IF(I35&lt;-$C$3,"Bajo mercado",IF(I35&gt;$C$3,"Sobre mercado","OK")))</f>
        <v>OK</v>
      </c>
    </row>
    <row r="36" customFormat="false" ht="15" hidden="false" customHeight="false" outlineLevel="0" collapsed="false">
      <c r="A36" s="6" t="s">
        <v>77</v>
      </c>
      <c r="B36" s="6" t="s">
        <v>78</v>
      </c>
      <c r="C36" s="6" t="s">
        <v>124</v>
      </c>
      <c r="D36" s="7" t="n">
        <v>5.75</v>
      </c>
      <c r="E36" s="13" t="n">
        <f aca="false">ROUND(AVERAGE(INDEX(Antes_4_tarifarios!$C$5:$F$44,MATCH(A36,Antes_4_tarifarios!$A$5:$A$44,0),0)),2)</f>
        <v>10.14</v>
      </c>
      <c r="F36" s="7" t="n">
        <v>10</v>
      </c>
      <c r="G36" s="14" t="n">
        <v>241</v>
      </c>
      <c r="H36" s="9" t="n">
        <f aca="false">(E36-D36)/E36</f>
        <v>0.432938856015779</v>
      </c>
      <c r="I36" s="9" t="n">
        <f aca="false">E36/F36-1</f>
        <v>0.014</v>
      </c>
      <c r="J36" s="15" t="n">
        <f aca="false">E36*G36</f>
        <v>2443.74</v>
      </c>
      <c r="K36" s="9" t="n">
        <f aca="false">SUM($J$6:J36)/SUM($J$6:$J$45)</f>
        <v>0.982982511412227</v>
      </c>
      <c r="L36" s="16" t="str">
        <f aca="false">IF(K36-J36/SUM($J$6:$J$45)&lt;0.8,"A","B")</f>
        <v>B</v>
      </c>
      <c r="M36" s="10" t="str">
        <f aca="false">IF(H36&lt;$C$2,"Margen bajo",IF(I36&lt;-$C$3,"Bajo mercado",IF(I36&gt;$C$3,"Sobre mercado","OK")))</f>
        <v>OK</v>
      </c>
    </row>
    <row r="37" customFormat="false" ht="15" hidden="false" customHeight="false" outlineLevel="0" collapsed="false">
      <c r="A37" s="6" t="s">
        <v>51</v>
      </c>
      <c r="B37" s="6" t="s">
        <v>52</v>
      </c>
      <c r="C37" s="6" t="s">
        <v>125</v>
      </c>
      <c r="D37" s="7" t="n">
        <v>9.08</v>
      </c>
      <c r="E37" s="13" t="n">
        <f aca="false">ROUND(AVERAGE(INDEX(Antes_4_tarifarios!$C$5:$F$44,MATCH(A37,Antes_4_tarifarios!$A$5:$A$44,0),0)),2)</f>
        <v>14.13</v>
      </c>
      <c r="F37" s="7" t="n">
        <v>16</v>
      </c>
      <c r="G37" s="14" t="n">
        <v>158</v>
      </c>
      <c r="H37" s="9" t="n">
        <f aca="false">(E37-D37)/E37</f>
        <v>0.357395612172682</v>
      </c>
      <c r="I37" s="9" t="n">
        <f aca="false">E37/F37-1</f>
        <v>-0.116875</v>
      </c>
      <c r="J37" s="15" t="n">
        <f aca="false">E37*G37</f>
        <v>2232.54</v>
      </c>
      <c r="K37" s="9" t="n">
        <f aca="false">SUM($J$6:J37)/SUM($J$6:$J$45)</f>
        <v>0.985586298640075</v>
      </c>
      <c r="L37" s="16" t="str">
        <f aca="false">IF(K37-J37/SUM($J$6:$J$45)&lt;0.8,"A","B")</f>
        <v>B</v>
      </c>
      <c r="M37" s="10" t="str">
        <f aca="false">IF(H37&lt;$C$2,"Margen bajo",IF(I37&lt;-$C$3,"Bajo mercado",IF(I37&gt;$C$3,"Sobre mercado","OK")))</f>
        <v>Bajo mercado</v>
      </c>
    </row>
    <row r="38" customFormat="false" ht="15" hidden="false" customHeight="false" outlineLevel="0" collapsed="false">
      <c r="A38" s="6" t="s">
        <v>81</v>
      </c>
      <c r="B38" s="6" t="s">
        <v>82</v>
      </c>
      <c r="C38" s="6" t="s">
        <v>124</v>
      </c>
      <c r="D38" s="7" t="n">
        <v>32.34</v>
      </c>
      <c r="E38" s="13" t="n">
        <f aca="false">ROUND(AVERAGE(INDEX(Antes_4_tarifarios!$C$5:$F$44,MATCH(A38,Antes_4_tarifarios!$A$5:$A$44,0),0)),2)</f>
        <v>57.98</v>
      </c>
      <c r="F38" s="7" t="n">
        <v>60</v>
      </c>
      <c r="G38" s="14" t="n">
        <v>37</v>
      </c>
      <c r="H38" s="9" t="n">
        <f aca="false">(E38-D38)/E38</f>
        <v>0.44222145567437</v>
      </c>
      <c r="I38" s="9" t="n">
        <f aca="false">E38/F38-1</f>
        <v>-0.0336666666666667</v>
      </c>
      <c r="J38" s="15" t="n">
        <f aca="false">E38*G38</f>
        <v>2145.26</v>
      </c>
      <c r="K38" s="9" t="n">
        <f aca="false">SUM($J$6:J38)/SUM($J$6:$J$45)</f>
        <v>0.988088292149</v>
      </c>
      <c r="L38" s="16" t="str">
        <f aca="false">IF(K38-J38/SUM($J$6:$J$45)&lt;0.8,"A","B")</f>
        <v>B</v>
      </c>
      <c r="M38" s="10" t="str">
        <f aca="false">IF(H38&lt;$C$2,"Margen bajo",IF(I38&lt;-$C$3,"Bajo mercado",IF(I38&gt;$C$3,"Sobre mercado","OK")))</f>
        <v>OK</v>
      </c>
    </row>
    <row r="39" customFormat="false" ht="15" hidden="false" customHeight="false" outlineLevel="0" collapsed="false">
      <c r="A39" s="6" t="s">
        <v>89</v>
      </c>
      <c r="B39" s="6" t="s">
        <v>90</v>
      </c>
      <c r="C39" s="6" t="s">
        <v>126</v>
      </c>
      <c r="D39" s="7" t="n">
        <v>10.77</v>
      </c>
      <c r="E39" s="13" t="n">
        <f aca="false">ROUND(AVERAGE(INDEX(Antes_4_tarifarios!$C$5:$F$44,MATCH(A39,Antes_4_tarifarios!$A$5:$A$44,0),0)),2)</f>
        <v>15.58</v>
      </c>
      <c r="F39" s="7" t="n">
        <v>20</v>
      </c>
      <c r="G39" s="14" t="n">
        <v>133</v>
      </c>
      <c r="H39" s="9" t="n">
        <f aca="false">(E39-D39)/E39</f>
        <v>0.308729139922978</v>
      </c>
      <c r="I39" s="9" t="n">
        <f aca="false">E39/F39-1</f>
        <v>-0.221</v>
      </c>
      <c r="J39" s="15" t="n">
        <f aca="false">E39*G39</f>
        <v>2072.14</v>
      </c>
      <c r="K39" s="9" t="n">
        <f aca="false">SUM($J$6:J39)/SUM($J$6:$J$45)</f>
        <v>0.990505006593674</v>
      </c>
      <c r="L39" s="16" t="str">
        <f aca="false">IF(K39-J39/SUM($J$6:$J$45)&lt;0.8,"A","B")</f>
        <v>B</v>
      </c>
      <c r="M39" s="10" t="str">
        <f aca="false">IF(H39&lt;$C$2,"Margen bajo",IF(I39&lt;-$C$3,"Bajo mercado",IF(I39&gt;$C$3,"Sobre mercado","OK")))</f>
        <v>Bajo mercado</v>
      </c>
    </row>
    <row r="40" customFormat="false" ht="15" hidden="false" customHeight="false" outlineLevel="0" collapsed="false">
      <c r="A40" s="6" t="s">
        <v>29</v>
      </c>
      <c r="B40" s="6" t="s">
        <v>30</v>
      </c>
      <c r="C40" s="6" t="s">
        <v>121</v>
      </c>
      <c r="D40" s="7" t="n">
        <v>23.98</v>
      </c>
      <c r="E40" s="13" t="n">
        <f aca="false">ROUND(AVERAGE(INDEX(Antes_4_tarifarios!$C$5:$F$44,MATCH(A40,Antes_4_tarifarios!$A$5:$A$44,0),0)),2)</f>
        <v>30.9</v>
      </c>
      <c r="F40" s="7" t="n">
        <v>35</v>
      </c>
      <c r="G40" s="14" t="n">
        <v>64</v>
      </c>
      <c r="H40" s="9" t="n">
        <f aca="false">(E40-D40)/E40</f>
        <v>0.223948220064725</v>
      </c>
      <c r="I40" s="9" t="n">
        <f aca="false">E40/F40-1</f>
        <v>-0.117142857142857</v>
      </c>
      <c r="J40" s="15" t="n">
        <f aca="false">E40*G40</f>
        <v>1977.6</v>
      </c>
      <c r="K40" s="9" t="n">
        <f aca="false">SUM($J$6:J40)/SUM($J$6:$J$45)</f>
        <v>0.992811460060037</v>
      </c>
      <c r="L40" s="16" t="str">
        <f aca="false">IF(K40-J40/SUM($J$6:$J$45)&lt;0.8,"A","B")</f>
        <v>B</v>
      </c>
      <c r="M40" s="10" t="str">
        <f aca="false">IF(H40&lt;$C$2,"Margen bajo",IF(I40&lt;-$C$3,"Bajo mercado",IF(I40&gt;$C$3,"Sobre mercado","OK")))</f>
        <v>Bajo mercado</v>
      </c>
    </row>
    <row r="41" customFormat="false" ht="15" hidden="false" customHeight="false" outlineLevel="0" collapsed="false">
      <c r="A41" s="6" t="s">
        <v>47</v>
      </c>
      <c r="B41" s="6" t="s">
        <v>48</v>
      </c>
      <c r="C41" s="6" t="s">
        <v>125</v>
      </c>
      <c r="D41" s="7" t="n">
        <v>3.32</v>
      </c>
      <c r="E41" s="13" t="n">
        <f aca="false">ROUND(AVERAGE(INDEX(Antes_4_tarifarios!$C$5:$F$44,MATCH(A41,Antes_4_tarifarios!$A$5:$A$44,0),0)),2)</f>
        <v>5.56</v>
      </c>
      <c r="F41" s="7" t="n">
        <v>6</v>
      </c>
      <c r="G41" s="14" t="n">
        <v>283</v>
      </c>
      <c r="H41" s="9" t="n">
        <f aca="false">(E41-D41)/E41</f>
        <v>0.402877697841727</v>
      </c>
      <c r="I41" s="9" t="n">
        <f aca="false">E41/F41-1</f>
        <v>-0.0733333333333334</v>
      </c>
      <c r="J41" s="15" t="n">
        <f aca="false">E41*G41</f>
        <v>1573.48</v>
      </c>
      <c r="K41" s="9" t="n">
        <f aca="false">SUM($J$6:J41)/SUM($J$6:$J$45)</f>
        <v>0.994646592746248</v>
      </c>
      <c r="L41" s="16" t="str">
        <f aca="false">IF(K41-J41/SUM($J$6:$J$45)&lt;0.8,"A","B")</f>
        <v>B</v>
      </c>
      <c r="M41" s="10" t="str">
        <f aca="false">IF(H41&lt;$C$2,"Margen bajo",IF(I41&lt;-$C$3,"Bajo mercado",IF(I41&gt;$C$3,"Sobre mercado","OK")))</f>
        <v>OK</v>
      </c>
    </row>
    <row r="42" customFormat="false" ht="15" hidden="false" customHeight="false" outlineLevel="0" collapsed="false">
      <c r="A42" s="6" t="s">
        <v>69</v>
      </c>
      <c r="B42" s="6" t="s">
        <v>70</v>
      </c>
      <c r="C42" s="6" t="s">
        <v>124</v>
      </c>
      <c r="D42" s="7" t="n">
        <v>10.68</v>
      </c>
      <c r="E42" s="13" t="n">
        <f aca="false">ROUND(AVERAGE(INDEX(Antes_4_tarifarios!$C$5:$F$44,MATCH(A42,Antes_4_tarifarios!$A$5:$A$44,0),0)),2)</f>
        <v>15.91</v>
      </c>
      <c r="F42" s="7" t="n">
        <v>20</v>
      </c>
      <c r="G42" s="14" t="n">
        <v>92</v>
      </c>
      <c r="H42" s="9" t="n">
        <f aca="false">(E42-D42)/E42</f>
        <v>0.328724072910119</v>
      </c>
      <c r="I42" s="9" t="n">
        <f aca="false">E42/F42-1</f>
        <v>-0.2045</v>
      </c>
      <c r="J42" s="15" t="n">
        <f aca="false">E42*G42</f>
        <v>1463.72</v>
      </c>
      <c r="K42" s="9" t="n">
        <f aca="false">SUM($J$6:J42)/SUM($J$6:$J$45)</f>
        <v>0.996353713532951</v>
      </c>
      <c r="L42" s="16" t="str">
        <f aca="false">IF(K42-J42/SUM($J$6:$J$45)&lt;0.8,"A","B")</f>
        <v>B</v>
      </c>
      <c r="M42" s="10" t="str">
        <f aca="false">IF(H42&lt;$C$2,"Margen bajo",IF(I42&lt;-$C$3,"Bajo mercado",IF(I42&gt;$C$3,"Sobre mercado","OK")))</f>
        <v>Bajo mercado</v>
      </c>
    </row>
    <row r="43" customFormat="false" ht="15" hidden="false" customHeight="false" outlineLevel="0" collapsed="false">
      <c r="A43" s="6" t="s">
        <v>79</v>
      </c>
      <c r="B43" s="6" t="s">
        <v>80</v>
      </c>
      <c r="C43" s="6" t="s">
        <v>124</v>
      </c>
      <c r="D43" s="7" t="n">
        <v>3.76</v>
      </c>
      <c r="E43" s="13" t="n">
        <f aca="false">ROUND(AVERAGE(INDEX(Antes_4_tarifarios!$C$5:$F$44,MATCH(A43,Antes_4_tarifarios!$A$5:$A$44,0),0)),2)</f>
        <v>5.77</v>
      </c>
      <c r="F43" s="7" t="n">
        <v>6</v>
      </c>
      <c r="G43" s="14" t="n">
        <v>247</v>
      </c>
      <c r="H43" s="9" t="n">
        <f aca="false">(E43-D43)/E43</f>
        <v>0.348353552859619</v>
      </c>
      <c r="I43" s="9" t="n">
        <f aca="false">E43/F43-1</f>
        <v>-0.0383333333333334</v>
      </c>
      <c r="J43" s="15" t="n">
        <f aca="false">E43*G43</f>
        <v>1425.19</v>
      </c>
      <c r="K43" s="9" t="n">
        <f aca="false">SUM($J$6:J43)/SUM($J$6:$J$45)</f>
        <v>0.998015897197861</v>
      </c>
      <c r="L43" s="16" t="str">
        <f aca="false">IF(K43-J43/SUM($J$6:$J$45)&lt;0.8,"A","B")</f>
        <v>B</v>
      </c>
      <c r="M43" s="10" t="str">
        <f aca="false">IF(H43&lt;$C$2,"Margen bajo",IF(I43&lt;-$C$3,"Bajo mercado",IF(I43&gt;$C$3,"Sobre mercado","OK")))</f>
        <v>OK</v>
      </c>
    </row>
    <row r="44" customFormat="false" ht="15" hidden="false" customHeight="false" outlineLevel="0" collapsed="false">
      <c r="A44" s="6" t="s">
        <v>61</v>
      </c>
      <c r="B44" s="6" t="s">
        <v>62</v>
      </c>
      <c r="C44" s="6" t="s">
        <v>122</v>
      </c>
      <c r="D44" s="7" t="n">
        <v>17.05</v>
      </c>
      <c r="E44" s="13" t="n">
        <f aca="false">ROUND(AVERAGE(INDEX(Antes_4_tarifarios!$C$5:$F$44,MATCH(A44,Antes_4_tarifarios!$A$5:$A$44,0),0)),2)</f>
        <v>43.91</v>
      </c>
      <c r="F44" s="7" t="n">
        <v>40</v>
      </c>
      <c r="G44" s="14" t="n">
        <v>31</v>
      </c>
      <c r="H44" s="9" t="n">
        <f aca="false">(E44-D44)/E44</f>
        <v>0.61170576178547</v>
      </c>
      <c r="I44" s="9" t="n">
        <f aca="false">E44/F44-1</f>
        <v>0.09775</v>
      </c>
      <c r="J44" s="15" t="n">
        <f aca="false">E44*G44</f>
        <v>1361.21</v>
      </c>
      <c r="K44" s="9" t="n">
        <f aca="false">SUM($J$6:J44)/SUM($J$6:$J$45)</f>
        <v>0.999603461681552</v>
      </c>
      <c r="L44" s="16" t="str">
        <f aca="false">IF(K44-J44/SUM($J$6:$J$45)&lt;0.8,"A","B")</f>
        <v>B</v>
      </c>
      <c r="M44" s="10" t="str">
        <f aca="false">IF(H44&lt;$C$2,"Margen bajo",IF(I44&lt;-$C$3,"Bajo mercado",IF(I44&gt;$C$3,"Sobre mercado","OK")))</f>
        <v>OK</v>
      </c>
    </row>
    <row r="45" customFormat="false" ht="15" hidden="false" customHeight="false" outlineLevel="0" collapsed="false">
      <c r="A45" s="6" t="s">
        <v>43</v>
      </c>
      <c r="B45" s="6" t="s">
        <v>44</v>
      </c>
      <c r="C45" s="6" t="s">
        <v>125</v>
      </c>
      <c r="D45" s="7" t="n">
        <v>9.06</v>
      </c>
      <c r="E45" s="13" t="n">
        <f aca="false">ROUND(AVERAGE(INDEX(Antes_4_tarifarios!$C$5:$F$44,MATCH(A45,Antes_4_tarifarios!$A$5:$A$44,0),0)),2)</f>
        <v>17</v>
      </c>
      <c r="F45" s="7" t="n">
        <v>18</v>
      </c>
      <c r="G45" s="14" t="n">
        <v>20</v>
      </c>
      <c r="H45" s="9" t="n">
        <f aca="false">(E45-D45)/E45</f>
        <v>0.467058823529412</v>
      </c>
      <c r="I45" s="9" t="n">
        <f aca="false">E45/F45-1</f>
        <v>-0.0555555555555556</v>
      </c>
      <c r="J45" s="15" t="n">
        <f aca="false">E45*G45</f>
        <v>340</v>
      </c>
      <c r="K45" s="9" t="n">
        <f aca="false">SUM($J$6:J45)/SUM($J$6:$J$45)</f>
        <v>1</v>
      </c>
      <c r="L45" s="16" t="str">
        <f aca="false">IF(K45-J45/SUM($J$6:$J$45)&lt;0.8,"A","B")</f>
        <v>B</v>
      </c>
      <c r="M45" s="10" t="str">
        <f aca="false">IF(H45&lt;$C$2,"Margen bajo",IF(I45&lt;-$C$3,"Bajo mercado",IF(I45&gt;$C$3,"Sobre mercado","OK")))</f>
        <v>OK</v>
      </c>
    </row>
  </sheetData>
  <conditionalFormatting sqref="M6:M45">
    <cfRule type="expression" priority="2" aboveAverage="0" equalAverage="0" bottom="0" percent="0" rank="0" text="" dxfId="1">
      <formula>M6="OK"</formula>
    </cfRule>
    <cfRule type="expression" priority="3" aboveAverage="0" equalAverage="0" bottom="0" percent="0" rank="0" text="" dxfId="0">
      <formula>OR(M6="Margen bajo",M6="Bajo mercado")</formula>
    </cfRule>
    <cfRule type="expression" priority="4" aboveAverage="0" equalAverage="0" bottom="0" percent="0" rank="0" text="" dxfId="2">
      <formula>M6="Sobre mercado"</formula>
    </cfRule>
  </conditionalFormatting>
  <conditionalFormatting sqref="L6:L45">
    <cfRule type="expression" priority="5" aboveAverage="0" equalAverage="0" bottom="0" percent="0" rank="0" text="" dxfId="3">
      <formula>L6="A"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127</v>
      </c>
    </row>
    <row r="3" customFormat="false" ht="15" hidden="false" customHeight="false" outlineLevel="0" collapsed="false">
      <c r="A3" s="10" t="s">
        <v>128</v>
      </c>
      <c r="B3" s="17" t="n">
        <f aca="false">COUNTA(Matriz_unificada!$A$6:$A$45)</f>
        <v>40</v>
      </c>
    </row>
    <row r="4" customFormat="false" ht="15" hidden="false" customHeight="false" outlineLevel="0" collapsed="false">
      <c r="A4" s="10" t="s">
        <v>129</v>
      </c>
      <c r="B4" s="17" t="n">
        <f aca="false">COUNTIF(Matriz_unificada!$L$6:$L$45,"A")</f>
        <v>10</v>
      </c>
    </row>
    <row r="5" customFormat="false" ht="15" hidden="false" customHeight="false" outlineLevel="0" collapsed="false">
      <c r="A5" s="10" t="s">
        <v>130</v>
      </c>
      <c r="B5" s="18" t="n">
        <f aca="false">SUM(Matriz_unificada!$J$6:$J$45)</f>
        <v>857420.29</v>
      </c>
    </row>
    <row r="6" customFormat="false" ht="15" hidden="false" customHeight="false" outlineLevel="0" collapsed="false">
      <c r="A6" s="10" t="s">
        <v>131</v>
      </c>
      <c r="B6" s="19" t="n">
        <f aca="false">SUMIF(Matriz_unificada!$L$6:$L$45,"A",Matriz_unificada!$J$6:$J$45)/SUM(Matriz_unificada!$J$6:$J$45)</f>
        <v>0.815095418374109</v>
      </c>
    </row>
    <row r="7" customFormat="false" ht="15" hidden="false" customHeight="false" outlineLevel="0" collapsed="false">
      <c r="A7" s="10" t="s">
        <v>132</v>
      </c>
      <c r="B7" s="17" t="n">
        <f aca="false">COUNTIF(Antes_4_tarifarios!$I$5:$I$44,"&gt;0.15")</f>
        <v>12</v>
      </c>
    </row>
    <row r="8" customFormat="false" ht="15" hidden="false" customHeight="false" outlineLevel="0" collapsed="false">
      <c r="A8" s="10" t="s">
        <v>133</v>
      </c>
      <c r="B8" s="19" t="n">
        <f aca="false">AVERAGE(Antes_4_tarifarios!$I$5:$I$44)</f>
        <v>0.123048645283451</v>
      </c>
    </row>
    <row r="9" customFormat="false" ht="15" hidden="false" customHeight="false" outlineLevel="0" collapsed="false">
      <c r="A9" s="10" t="s">
        <v>134</v>
      </c>
      <c r="B9" s="17" t="n">
        <f aca="false">COUNTIF(Matriz_unificada!$M$6:$M$45,"&lt;&gt;OK")</f>
        <v>13</v>
      </c>
    </row>
    <row r="10" customFormat="false" ht="15" hidden="false" customHeight="false" outlineLevel="0" collapsed="false">
      <c r="A10" s="10" t="s">
        <v>135</v>
      </c>
      <c r="B10" s="17" t="n">
        <f aca="false">COUNTIFS(Matriz_unificada!$L$6:$L$45,"A",Matriz_unificada!$M$6:$M$45,"&lt;&gt;OK")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2026-10-20T16:11:07Z</dcterms:created>
  <dc:creator>openpyxl</dc:creator>
  <dc:description/>
  <dc:language>en-US</dc:language>
  <cp:lastModifiedBy/>
  <dcterms:modified xsi:type="dcterms:W3CDTF">2026-10-20T16:11:07Z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