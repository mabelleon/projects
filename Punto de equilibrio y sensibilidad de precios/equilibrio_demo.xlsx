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me" sheetId="1" state="visible" r:id="rId3"/>
    <sheet name="Supuestos" sheetId="2" state="visible" r:id="rId4"/>
    <sheet name="Equilibrio" sheetId="3" state="visible" r:id="rId5"/>
    <sheet name="Sensibilidad" sheetId="4" state="visible" r:id="rId6"/>
    <sheet name="Elasticida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<sst xmlns="http://schemas.openxmlformats.org/spreadsheetml/2006/main" count="57" uniqueCount="55">
  <si>
    <t xml:space="preserve">Punto de equilibrio y sensibilidad de precios (datos ficticios)</t>
  </si>
  <si>
    <t xml:space="preserve">Servicio de ejemplo: estudio de imagen en un centro de salud. Todas las cifras son inventadas.</t>
  </si>
  <si>
    <t xml:space="preserve">Hojas:</t>
  </si>
  <si>
    <t xml:space="preserve">Supuestos: datos de entrada (celdas azules con fondo amarillo; son las únicas que se editan).</t>
  </si>
  <si>
    <t xml:space="preserve">Equilibrio: margen de contribución, punto de equilibrio, margen de seguridad y gráfico ingresos vs. costos.</t>
  </si>
  <si>
    <t xml:space="preserve">Sensibilidad: utilidad según el precio (-20 % a +30 %) con elasticidad constante, y precio óptimo.</t>
  </si>
  <si>
    <t xml:space="preserve">Elasticidad: tabla de dos entradas, utilidad según precio y elasticidad.</t>
  </si>
  <si>
    <t xml:space="preserve">Código de colores: azul = dato de entrada; negro = fórmula. Verde = resultado clave.</t>
  </si>
  <si>
    <t xml:space="preserve">Modelo de demanda: Q = Q0 × (P / P0)^(-e). Supuesto simplificado; no incluye capacidad ni competencia.</t>
  </si>
  <si>
    <t xml:space="preserve">Supuesto</t>
  </si>
  <si>
    <t xml:space="preserve">Valor</t>
  </si>
  <si>
    <t xml:space="preserve">Nota</t>
  </si>
  <si>
    <t xml:space="preserve">Precio actual (USD)</t>
  </si>
  <si>
    <t xml:space="preserve">Precio por estudio</t>
  </si>
  <si>
    <t xml:space="preserve">Costo variable unitario (USD)</t>
  </si>
  <si>
    <t xml:space="preserve">Insumos, honorarios por estudio</t>
  </si>
  <si>
    <t xml:space="preserve">Costos fijos mensuales (USD)</t>
  </si>
  <si>
    <t xml:space="preserve">Equipo, personal fijo, arriendo</t>
  </si>
  <si>
    <t xml:space="preserve">Volumen actual (estudios/mes)</t>
  </si>
  <si>
    <t xml:space="preserve">Línea base</t>
  </si>
  <si>
    <t xml:space="preserve">Elasticidad precio de la demanda (e)</t>
  </si>
  <si>
    <t xml:space="preserve">Supuesto del analista; ver hoja Elasticidad para 0,5–2,5</t>
  </si>
  <si>
    <t xml:space="preserve">Paso de variación de precio</t>
  </si>
  <si>
    <t xml:space="preserve">Incremento entre escenarios</t>
  </si>
  <si>
    <t xml:space="preserve">Ejemplo de formato: precio 120,00; costo variable 45,00; volumen 800. Datos ficticios, sin relación con ningún empleador.</t>
  </si>
  <si>
    <t xml:space="preserve">Indicador</t>
  </si>
  <si>
    <t xml:space="preserve">Margen de contribución unitario (USD)</t>
  </si>
  <si>
    <t xml:space="preserve">Margen de contribución (%)</t>
  </si>
  <si>
    <t xml:space="preserve">Punto de equilibrio (estudios/mes)</t>
  </si>
  <si>
    <t xml:space="preserve">Punto de equilibrio (ingresos USD/mes)</t>
  </si>
  <si>
    <t xml:space="preserve">Ingresos actuales (USD/mes)</t>
  </si>
  <si>
    <t xml:space="preserve">Utilidad operativa actual (USD/mes)</t>
  </si>
  <si>
    <t xml:space="preserve">Margen de seguridad (%)</t>
  </si>
  <si>
    <t xml:space="preserve">Estudios adicionales para ganar USD 10.000 más</t>
  </si>
  <si>
    <t xml:space="preserve">10.000 es un objetivo ilustrativo (supuesto).</t>
  </si>
  <si>
    <t xml:space="preserve">Volumen (estudios/mes)</t>
  </si>
  <si>
    <t xml:space="preserve">Ingresos</t>
  </si>
  <si>
    <t xml:space="preserve">Costos totales</t>
  </si>
  <si>
    <t xml:space="preserve">Utilidad</t>
  </si>
  <si>
    <t xml:space="preserve">Variación de precio</t>
  </si>
  <si>
    <t xml:space="preserve">Precio (USD)</t>
  </si>
  <si>
    <t xml:space="preserve">Volumen estimado</t>
  </si>
  <si>
    <t xml:space="preserve">Costos variables</t>
  </si>
  <si>
    <t xml:space="preserve">Margen de contribución</t>
  </si>
  <si>
    <t xml:space="preserve">Utilidad operativa</t>
  </si>
  <si>
    <t xml:space="preserve">Punto de equilibrio (estudios)</t>
  </si>
  <si>
    <t xml:space="preserve">Margen de seguridad</t>
  </si>
  <si>
    <t xml:space="preserve">Precio de mayor utilidad (en la grilla)</t>
  </si>
  <si>
    <t xml:space="preserve">Utilidad en ese precio (USD/mes)</t>
  </si>
  <si>
    <t xml:space="preserve">Mejora vs. utilidad actual (USD/mes)</t>
  </si>
  <si>
    <t xml:space="preserve">Precio óptimo teórico = e/(e-1) × costo variable</t>
  </si>
  <si>
    <t xml:space="preserve">El precio óptimo teórico es válido sin restricciones de capacidad ni competencia; la grilla lo contrasta con escenarios discretos.</t>
  </si>
  <si>
    <t xml:space="preserve">Utilidad operativa mensual (USD) según variación de precio (filas) y elasticidad (columnas)</t>
  </si>
  <si>
    <t xml:space="preserve">Variación \ e</t>
  </si>
  <si>
    <t xml:space="preserve">Lectura: con e bajo conviene subir el precio; con e alto, el volumen perdido supera el margen ganado.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</si>
</sst>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0"/>
    <numFmt numFmtId="166" formatCode="\$#,##0"/>
    <numFmt numFmtId="167" formatCode="#,##0"/>
    <numFmt numFmtId="168" formatCode="0.00"/>
    <numFmt numFmtId="169" formatCode="0%"/>
    <numFmt numFmtId="170" formatCode="0.0%"/>
    <numFmt numFmtId="171" formatCode="\$#,##0;&quot;($&quot;#,##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99"/>
        <bgColor rgb="FFFFFFCC"/>
      </patternFill>
    </fill>
    <fill>
      <patternFill patternType="solid">
        <fgColor rgb="FFC6EFCE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Ingresos vs. costos totales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Equilibrio!B12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Equilibrio!$A$13:$A$23</c:f>
              <c:strCache>
                <c:ptCount val="11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1,000</c:v>
                </c:pt>
                <c:pt idx="6">
                  <c:v>1,200</c:v>
                </c:pt>
                <c:pt idx="7">
                  <c:v>1,400</c:v>
                </c:pt>
                <c:pt idx="8">
                  <c:v>1,600</c:v>
                </c:pt>
                <c:pt idx="9">
                  <c:v>1,800</c:v>
                </c:pt>
                <c:pt idx="10">
                  <c:v>2,000</c:v>
                </c:pt>
              </c:strCache>
            </c:strRef>
          </c:cat>
          <c:val>
            <c:numRef>
              <c:f>Equilibrio!$B$13:$B$23</c:f>
              <c:numCache>
                <c:formatCode>\$#,##0</c:formatCode>
                <c:ptCount val="11"/>
                <c:pt idx="0">
                  <c:v>0</c:v>
                </c:pt>
                <c:pt idx="1">
                  <c:v>24000</c:v>
                </c:pt>
                <c:pt idx="2">
                  <c:v>48000</c:v>
                </c:pt>
                <c:pt idx="3">
                  <c:v>72000</c:v>
                </c:pt>
                <c:pt idx="4">
                  <c:v>96000</c:v>
                </c:pt>
                <c:pt idx="5">
                  <c:v>120000</c:v>
                </c:pt>
                <c:pt idx="6">
                  <c:v>144000</c:v>
                </c:pt>
                <c:pt idx="7">
                  <c:v>168000</c:v>
                </c:pt>
                <c:pt idx="8">
                  <c:v>192000</c:v>
                </c:pt>
                <c:pt idx="9">
                  <c:v>216000</c:v>
                </c:pt>
                <c:pt idx="10">
                  <c:v>240000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Equilibrio!C12</c:f>
              <c:strCache>
                <c:ptCount val="1"/>
                <c:pt idx="0">
                  <c:v>Costos totales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Equilibrio!$A$13:$A$23</c:f>
              <c:strCache>
                <c:ptCount val="11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1,000</c:v>
                </c:pt>
                <c:pt idx="6">
                  <c:v>1,200</c:v>
                </c:pt>
                <c:pt idx="7">
                  <c:v>1,400</c:v>
                </c:pt>
                <c:pt idx="8">
                  <c:v>1,600</c:v>
                </c:pt>
                <c:pt idx="9">
                  <c:v>1,800</c:v>
                </c:pt>
                <c:pt idx="10">
                  <c:v>2,000</c:v>
                </c:pt>
              </c:strCache>
            </c:strRef>
          </c:cat>
          <c:val>
            <c:numRef>
              <c:f>Equilibrio!$C$13:$C$23</c:f>
              <c:numCache>
                <c:formatCode>\$#,##0</c:formatCode>
                <c:ptCount val="11"/>
                <c:pt idx="0">
                  <c:v>38000</c:v>
                </c:pt>
                <c:pt idx="1">
                  <c:v>47000</c:v>
                </c:pt>
                <c:pt idx="2">
                  <c:v>56000</c:v>
                </c:pt>
                <c:pt idx="3">
                  <c:v>65000</c:v>
                </c:pt>
                <c:pt idx="4">
                  <c:v>74000</c:v>
                </c:pt>
                <c:pt idx="5">
                  <c:v>83000</c:v>
                </c:pt>
                <c:pt idx="6">
                  <c:v>92000</c:v>
                </c:pt>
                <c:pt idx="7">
                  <c:v>101000</c:v>
                </c:pt>
                <c:pt idx="8">
                  <c:v>110000</c:v>
                </c:pt>
                <c:pt idx="9">
                  <c:v>119000</c:v>
                </c:pt>
                <c:pt idx="10">
                  <c:v>128000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8023372"/>
        <c:axId val="14270131"/>
      </c:lineChart>
      <c:catAx>
        <c:axId val="8802337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Estudios/mes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270131"/>
        <c:crosses val="autoZero"/>
        <c:auto val="1"/>
        <c:lblAlgn val="ctr"/>
        <c:lblOffset val="100"/>
        <c:noMultiLvlLbl val="0"/>
      </c:catAx>
      <c:valAx>
        <c:axId val="142701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USD/mes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0233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Utilidad operativa según el precio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Sensibilidad!G1</c:f>
              <c:strCache>
                <c:ptCount val="1"/>
                <c:pt idx="0">
                  <c:v>Utilidad operativa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Sensibilidad!$A$2:$A$12</c:f>
              <c:strCache>
                <c:ptCount val="11"/>
                <c:pt idx="0">
                  <c:v>-20%</c:v>
                </c:pt>
                <c:pt idx="1">
                  <c:v>-15%</c:v>
                </c:pt>
                <c:pt idx="2">
                  <c:v>-10%</c:v>
                </c:pt>
                <c:pt idx="3">
                  <c:v>-5%</c:v>
                </c:pt>
                <c:pt idx="4">
                  <c:v>0%</c:v>
                </c:pt>
                <c:pt idx="5">
                  <c:v>5%</c:v>
                </c:pt>
                <c:pt idx="6">
                  <c:v>10%</c:v>
                </c:pt>
                <c:pt idx="7">
                  <c:v>15%</c:v>
                </c:pt>
                <c:pt idx="8">
                  <c:v>20%</c:v>
                </c:pt>
                <c:pt idx="9">
                  <c:v>25%</c:v>
                </c:pt>
                <c:pt idx="10">
                  <c:v>30%</c:v>
                </c:pt>
              </c:strCache>
            </c:strRef>
          </c:cat>
          <c:val>
            <c:numRef>
              <c:f>Sensibilidad!$G$2:$G$12</c:f>
              <c:numCache>
                <c:formatCode>\$#,##0;"($"#,##0\);\-</c:formatCode>
                <c:ptCount val="11"/>
                <c:pt idx="0">
                  <c:v>19019.7334262446</c:v>
                </c:pt>
                <c:pt idx="1">
                  <c:v>20188.4051560631</c:v>
                </c:pt>
                <c:pt idx="2">
                  <c:v>21029.1829898097</c:v>
                </c:pt>
                <c:pt idx="3">
                  <c:v>21614.7421422111</c:v>
                </c:pt>
                <c:pt idx="4">
                  <c:v>22000</c:v>
                </c:pt>
                <c:pt idx="5">
                  <c:v>22226.9759305381</c:v>
                </c:pt>
                <c:pt idx="6">
                  <c:v>22328.1783740847</c:v>
                </c:pt>
                <c:pt idx="7">
                  <c:v>22329.0067244168</c:v>
                </c:pt>
                <c:pt idx="8">
                  <c:v>22249.4813255683</c:v>
                </c:pt>
                <c:pt idx="9">
                  <c:v>22105.5072351944</c:v>
                </c:pt>
                <c:pt idx="10">
                  <c:v>21909.8093188186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0900403"/>
        <c:axId val="98680644"/>
      </c:lineChart>
      <c:catAx>
        <c:axId val="4090040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Variación de precio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680644"/>
        <c:crosses val="autoZero"/>
        <c:auto val="1"/>
        <c:lblAlgn val="ctr"/>
        <c:lblOffset val="100"/>
        <c:noMultiLvlLbl val="0"/>
      </c:catAx>
      <c:valAx>
        <c:axId val="986806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USD/mes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9004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14</xdr:col>
      <xdr:colOff>255960</xdr:colOff>
      <xdr:row>16</xdr:row>
      <xdr:rowOff>21960</xdr:rowOff>
    </xdr:to>
    <xdr:graphicFrame>
      <xdr:nvGraphicFramePr>
        <xdr:cNvPr id="0" name="Chart 1"/>
        <xdr:cNvGraphicFramePr/>
      </xdr:nvGraphicFramePr>
      <xdr:xfrm>
        <a:off x="7237080" y="190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1</xdr:row>
      <xdr:rowOff>0</xdr:rowOff>
    </xdr:from>
    <xdr:to>
      <xdr:col>19</xdr:col>
      <xdr:colOff>255960</xdr:colOff>
      <xdr:row>16</xdr:row>
      <xdr:rowOff>21960</xdr:rowOff>
    </xdr:to>
    <xdr:graphicFrame>
      <xdr:nvGraphicFramePr>
        <xdr:cNvPr id="1" name="Chart 1"/>
        <xdr:cNvGraphicFramePr/>
      </xdr:nvGraphicFramePr>
      <xdr:xfrm>
        <a:off x="13298760" y="3999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1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3" t="s">
        <v>9</v>
      </c>
      <c r="B1" s="3" t="s">
        <v>10</v>
      </c>
      <c r="C1" s="3" t="s">
        <v>11</v>
      </c>
    </row>
    <row r="2" customFormat="false" ht="15" hidden="false" customHeight="false" outlineLevel="0" collapsed="false">
      <c r="A2" s="2" t="s">
        <v>12</v>
      </c>
      <c r="B2" s="4" t="n">
        <v>120</v>
      </c>
      <c r="C2" s="2" t="s">
        <v>13</v>
      </c>
    </row>
    <row r="3" customFormat="false" ht="15" hidden="false" customHeight="false" outlineLevel="0" collapsed="false">
      <c r="A3" s="2" t="s">
        <v>14</v>
      </c>
      <c r="B3" s="4" t="n">
        <v>45</v>
      </c>
      <c r="C3" s="2" t="s">
        <v>15</v>
      </c>
    </row>
    <row r="4" customFormat="false" ht="15" hidden="false" customHeight="false" outlineLevel="0" collapsed="false">
      <c r="A4" s="2" t="s">
        <v>16</v>
      </c>
      <c r="B4" s="5" t="n">
        <v>38000</v>
      </c>
      <c r="C4" s="2" t="s">
        <v>17</v>
      </c>
    </row>
    <row r="5" customFormat="false" ht="15" hidden="false" customHeight="false" outlineLevel="0" collapsed="false">
      <c r="A5" s="2" t="s">
        <v>18</v>
      </c>
      <c r="B5" s="6" t="n">
        <v>800</v>
      </c>
      <c r="C5" s="2" t="s">
        <v>19</v>
      </c>
    </row>
    <row r="6" customFormat="false" ht="15" hidden="false" customHeight="false" outlineLevel="0" collapsed="false">
      <c r="A6" s="2" t="s">
        <v>20</v>
      </c>
      <c r="B6" s="7" t="n">
        <v>1.5</v>
      </c>
      <c r="C6" s="2" t="s">
        <v>21</v>
      </c>
    </row>
    <row r="7" customFormat="false" ht="15" hidden="false" customHeight="false" outlineLevel="0" collapsed="false">
      <c r="A7" s="2" t="s">
        <v>22</v>
      </c>
      <c r="B7" s="8" t="n">
        <v>0.05</v>
      </c>
      <c r="C7" s="2" t="s">
        <v>23</v>
      </c>
    </row>
    <row r="9" customFormat="false" ht="15" hidden="false" customHeight="false" outlineLevel="0" collapsed="false">
      <c r="A9" s="9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6"/>
  </cols>
  <sheetData>
    <row r="1" customFormat="false" ht="15" hidden="false" customHeight="false" outlineLevel="0" collapsed="false">
      <c r="A1" s="3" t="s">
        <v>25</v>
      </c>
      <c r="B1" s="3" t="s">
        <v>10</v>
      </c>
    </row>
    <row r="2" customFormat="false" ht="15" hidden="false" customHeight="false" outlineLevel="0" collapsed="false">
      <c r="A2" s="2" t="s">
        <v>26</v>
      </c>
      <c r="B2" s="10" t="n">
        <f aca="false">Supuestos!B2-Supuestos!B3</f>
        <v>75</v>
      </c>
    </row>
    <row r="3" customFormat="false" ht="15" hidden="false" customHeight="false" outlineLevel="0" collapsed="false">
      <c r="A3" s="2" t="s">
        <v>27</v>
      </c>
      <c r="B3" s="11" t="n">
        <f aca="false">B2/Supuestos!B2</f>
        <v>0.625</v>
      </c>
    </row>
    <row r="4" customFormat="false" ht="15" hidden="false" customHeight="false" outlineLevel="0" collapsed="false">
      <c r="A4" s="2" t="s">
        <v>28</v>
      </c>
      <c r="B4" s="12" t="n">
        <f aca="false">Supuestos!B4/B2</f>
        <v>506.666666666667</v>
      </c>
    </row>
    <row r="5" customFormat="false" ht="15" hidden="false" customHeight="false" outlineLevel="0" collapsed="false">
      <c r="A5" s="2" t="s">
        <v>29</v>
      </c>
      <c r="B5" s="13" t="n">
        <f aca="false">B4*Supuestos!B2</f>
        <v>60800</v>
      </c>
    </row>
    <row r="6" customFormat="false" ht="15" hidden="false" customHeight="false" outlineLevel="0" collapsed="false">
      <c r="A6" s="2" t="s">
        <v>30</v>
      </c>
      <c r="B6" s="13" t="n">
        <f aca="false">Supuestos!B5*Supuestos!B2</f>
        <v>96000</v>
      </c>
    </row>
    <row r="7" customFormat="false" ht="15" hidden="false" customHeight="false" outlineLevel="0" collapsed="false">
      <c r="A7" s="2" t="s">
        <v>31</v>
      </c>
      <c r="B7" s="14" t="n">
        <f aca="false">Supuestos!B5*B2-Supuestos!B4</f>
        <v>22000</v>
      </c>
    </row>
    <row r="8" customFormat="false" ht="15" hidden="false" customHeight="false" outlineLevel="0" collapsed="false">
      <c r="A8" s="2" t="s">
        <v>32</v>
      </c>
      <c r="B8" s="15" t="n">
        <f aca="false">(Supuestos!B5-B4)/Supuestos!B5</f>
        <v>0.366666666666667</v>
      </c>
    </row>
    <row r="9" customFormat="false" ht="15" hidden="false" customHeight="false" outlineLevel="0" collapsed="false">
      <c r="A9" s="2" t="s">
        <v>33</v>
      </c>
      <c r="B9" s="16" t="n">
        <f aca="false">10000/B2</f>
        <v>133.333333333333</v>
      </c>
      <c r="C9" s="9" t="s">
        <v>34</v>
      </c>
    </row>
    <row r="12" customFormat="false" ht="15" hidden="false" customHeight="false" outlineLevel="0" collapsed="false">
      <c r="A12" s="3" t="s">
        <v>35</v>
      </c>
      <c r="B12" s="3" t="s">
        <v>36</v>
      </c>
      <c r="C12" s="3" t="s">
        <v>37</v>
      </c>
      <c r="D12" s="3" t="s">
        <v>38</v>
      </c>
    </row>
    <row r="13" customFormat="false" ht="15" hidden="false" customHeight="false" outlineLevel="0" collapsed="false">
      <c r="A13" s="17" t="n">
        <f aca="false">0</f>
        <v>0</v>
      </c>
      <c r="B13" s="18" t="n">
        <f aca="false">A13*Supuestos!$B$2</f>
        <v>0</v>
      </c>
      <c r="C13" s="18" t="n">
        <f aca="false">Supuestos!$B$4+A13*Supuestos!$B$3</f>
        <v>38000</v>
      </c>
      <c r="D13" s="19" t="n">
        <f aca="false">B13-C13</f>
        <v>-38000</v>
      </c>
    </row>
    <row r="14" customFormat="false" ht="15" hidden="false" customHeight="false" outlineLevel="0" collapsed="false">
      <c r="A14" s="17" t="n">
        <f aca="false">A13+200</f>
        <v>200</v>
      </c>
      <c r="B14" s="18" t="n">
        <f aca="false">A14*Supuestos!$B$2</f>
        <v>24000</v>
      </c>
      <c r="C14" s="18" t="n">
        <f aca="false">Supuestos!$B$4+A14*Supuestos!$B$3</f>
        <v>47000</v>
      </c>
      <c r="D14" s="19" t="n">
        <f aca="false">B14-C14</f>
        <v>-23000</v>
      </c>
    </row>
    <row r="15" customFormat="false" ht="15" hidden="false" customHeight="false" outlineLevel="0" collapsed="false">
      <c r="A15" s="17" t="n">
        <f aca="false">A14+200</f>
        <v>400</v>
      </c>
      <c r="B15" s="18" t="n">
        <f aca="false">A15*Supuestos!$B$2</f>
        <v>48000</v>
      </c>
      <c r="C15" s="18" t="n">
        <f aca="false">Supuestos!$B$4+A15*Supuestos!$B$3</f>
        <v>56000</v>
      </c>
      <c r="D15" s="19" t="n">
        <f aca="false">B15-C15</f>
        <v>-8000</v>
      </c>
    </row>
    <row r="16" customFormat="false" ht="15" hidden="false" customHeight="false" outlineLevel="0" collapsed="false">
      <c r="A16" s="17" t="n">
        <f aca="false">A15+200</f>
        <v>600</v>
      </c>
      <c r="B16" s="18" t="n">
        <f aca="false">A16*Supuestos!$B$2</f>
        <v>72000</v>
      </c>
      <c r="C16" s="18" t="n">
        <f aca="false">Supuestos!$B$4+A16*Supuestos!$B$3</f>
        <v>65000</v>
      </c>
      <c r="D16" s="19" t="n">
        <f aca="false">B16-C16</f>
        <v>7000</v>
      </c>
    </row>
    <row r="17" customFormat="false" ht="15" hidden="false" customHeight="false" outlineLevel="0" collapsed="false">
      <c r="A17" s="17" t="n">
        <f aca="false">A16+200</f>
        <v>800</v>
      </c>
      <c r="B17" s="18" t="n">
        <f aca="false">A17*Supuestos!$B$2</f>
        <v>96000</v>
      </c>
      <c r="C17" s="18" t="n">
        <f aca="false">Supuestos!$B$4+A17*Supuestos!$B$3</f>
        <v>74000</v>
      </c>
      <c r="D17" s="19" t="n">
        <f aca="false">B17-C17</f>
        <v>22000</v>
      </c>
    </row>
    <row r="18" customFormat="false" ht="15" hidden="false" customHeight="false" outlineLevel="0" collapsed="false">
      <c r="A18" s="17" t="n">
        <f aca="false">A17+200</f>
        <v>1000</v>
      </c>
      <c r="B18" s="18" t="n">
        <f aca="false">A18*Supuestos!$B$2</f>
        <v>120000</v>
      </c>
      <c r="C18" s="18" t="n">
        <f aca="false">Supuestos!$B$4+A18*Supuestos!$B$3</f>
        <v>83000</v>
      </c>
      <c r="D18" s="19" t="n">
        <f aca="false">B18-C18</f>
        <v>37000</v>
      </c>
    </row>
    <row r="19" customFormat="false" ht="15" hidden="false" customHeight="false" outlineLevel="0" collapsed="false">
      <c r="A19" s="17" t="n">
        <f aca="false">A18+200</f>
        <v>1200</v>
      </c>
      <c r="B19" s="18" t="n">
        <f aca="false">A19*Supuestos!$B$2</f>
        <v>144000</v>
      </c>
      <c r="C19" s="18" t="n">
        <f aca="false">Supuestos!$B$4+A19*Supuestos!$B$3</f>
        <v>92000</v>
      </c>
      <c r="D19" s="19" t="n">
        <f aca="false">B19-C19</f>
        <v>52000</v>
      </c>
    </row>
    <row r="20" customFormat="false" ht="15" hidden="false" customHeight="false" outlineLevel="0" collapsed="false">
      <c r="A20" s="17" t="n">
        <f aca="false">A19+200</f>
        <v>1400</v>
      </c>
      <c r="B20" s="18" t="n">
        <f aca="false">A20*Supuestos!$B$2</f>
        <v>168000</v>
      </c>
      <c r="C20" s="18" t="n">
        <f aca="false">Supuestos!$B$4+A20*Supuestos!$B$3</f>
        <v>101000</v>
      </c>
      <c r="D20" s="19" t="n">
        <f aca="false">B20-C20</f>
        <v>67000</v>
      </c>
    </row>
    <row r="21" customFormat="false" ht="15" hidden="false" customHeight="false" outlineLevel="0" collapsed="false">
      <c r="A21" s="17" t="n">
        <f aca="false">A20+200</f>
        <v>1600</v>
      </c>
      <c r="B21" s="18" t="n">
        <f aca="false">A21*Supuestos!$B$2</f>
        <v>192000</v>
      </c>
      <c r="C21" s="18" t="n">
        <f aca="false">Supuestos!$B$4+A21*Supuestos!$B$3</f>
        <v>110000</v>
      </c>
      <c r="D21" s="19" t="n">
        <f aca="false">B21-C21</f>
        <v>82000</v>
      </c>
    </row>
    <row r="22" customFormat="false" ht="15" hidden="false" customHeight="false" outlineLevel="0" collapsed="false">
      <c r="A22" s="17" t="n">
        <f aca="false">A21+200</f>
        <v>1800</v>
      </c>
      <c r="B22" s="18" t="n">
        <f aca="false">A22*Supuestos!$B$2</f>
        <v>216000</v>
      </c>
      <c r="C22" s="18" t="n">
        <f aca="false">Supuestos!$B$4+A22*Supuestos!$B$3</f>
        <v>119000</v>
      </c>
      <c r="D22" s="19" t="n">
        <f aca="false">B22-C22</f>
        <v>97000</v>
      </c>
    </row>
    <row r="23" customFormat="false" ht="15" hidden="false" customHeight="false" outlineLevel="0" collapsed="false">
      <c r="A23" s="17" t="n">
        <f aca="false">A22+200</f>
        <v>2000</v>
      </c>
      <c r="B23" s="18" t="n">
        <f aca="false">A23*Supuestos!$B$2</f>
        <v>240000</v>
      </c>
      <c r="C23" s="18" t="n">
        <f aca="false">Supuestos!$B$4+A23*Supuestos!$B$3</f>
        <v>128000</v>
      </c>
      <c r="D23" s="19" t="n">
        <f aca="false">B23-C23</f>
        <v>112000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9" min="2" style="0" width="17"/>
  </cols>
  <sheetData>
    <row r="1" customFormat="false" ht="31.5" hidden="false" customHeight="true" outlineLevel="0" collapsed="false">
      <c r="A1" s="3" t="s">
        <v>39</v>
      </c>
      <c r="B1" s="3" t="s">
        <v>40</v>
      </c>
      <c r="C1" s="3" t="s">
        <v>41</v>
      </c>
      <c r="D1" s="3" t="s">
        <v>36</v>
      </c>
      <c r="E1" s="3" t="s">
        <v>42</v>
      </c>
      <c r="F1" s="3" t="s">
        <v>43</v>
      </c>
      <c r="G1" s="3" t="s">
        <v>44</v>
      </c>
      <c r="H1" s="3" t="s">
        <v>45</v>
      </c>
      <c r="I1" s="3" t="s">
        <v>46</v>
      </c>
    </row>
    <row r="2" customFormat="false" ht="15" hidden="false" customHeight="false" outlineLevel="0" collapsed="false">
      <c r="A2" s="20" t="n">
        <f aca="false">-0.2</f>
        <v>-0.2</v>
      </c>
      <c r="B2" s="21" t="n">
        <f aca="false">Supuestos!$B$2*(1+A2)</f>
        <v>96</v>
      </c>
      <c r="C2" s="17" t="n">
        <f aca="false">Supuestos!$B$5*(B2/Supuestos!$B$2)^(-Supuestos!$B$6)</f>
        <v>1118.03398874989</v>
      </c>
      <c r="D2" s="18" t="n">
        <f aca="false">B2*C2</f>
        <v>107331.26291999</v>
      </c>
      <c r="E2" s="18" t="n">
        <f aca="false">C2*Supuestos!$B$3</f>
        <v>50311.5294937453</v>
      </c>
      <c r="F2" s="18" t="n">
        <f aca="false">D2-E2</f>
        <v>57019.7334262446</v>
      </c>
      <c r="G2" s="19" t="n">
        <f aca="false">F2-Supuestos!$B$4</f>
        <v>19019.7334262446</v>
      </c>
      <c r="H2" s="17" t="n">
        <f aca="false">IF(B2&gt;Supuestos!$B$3,Supuestos!$B$4/(B2-Supuestos!$B$3),"n/a")</f>
        <v>745.098039215686</v>
      </c>
      <c r="I2" s="22" t="n">
        <f aca="false">IFERROR((C2-H2)/C2,"n/a")</f>
        <v>0.333564053764768</v>
      </c>
    </row>
    <row r="3" customFormat="false" ht="15" hidden="false" customHeight="false" outlineLevel="0" collapsed="false">
      <c r="A3" s="20" t="n">
        <f aca="false">A2+Supuestos!$B$7</f>
        <v>-0.15</v>
      </c>
      <c r="B3" s="21" t="n">
        <f aca="false">Supuestos!$B$2*(1+A3)</f>
        <v>102</v>
      </c>
      <c r="C3" s="17" t="n">
        <f aca="false">Supuestos!$B$5*(B3/Supuestos!$B$2)^(-Supuestos!$B$6)</f>
        <v>1020.84921326426</v>
      </c>
      <c r="D3" s="18" t="n">
        <f aca="false">B3*C3</f>
        <v>104126.619752955</v>
      </c>
      <c r="E3" s="18" t="n">
        <f aca="false">C3*Supuestos!$B$3</f>
        <v>45938.2145968919</v>
      </c>
      <c r="F3" s="18" t="n">
        <f aca="false">D3-E3</f>
        <v>58188.4051560631</v>
      </c>
      <c r="G3" s="19" t="n">
        <f aca="false">F3-Supuestos!$B$4</f>
        <v>20188.4051560631</v>
      </c>
      <c r="H3" s="17" t="n">
        <f aca="false">IF(B3&gt;Supuestos!$B$3,Supuestos!$B$4/(B3-Supuestos!$B$3),"n/a")</f>
        <v>666.666666666667</v>
      </c>
      <c r="I3" s="22" t="n">
        <f aca="false">IFERROR((C3-H3)/C3,"n/a")</f>
        <v>0.346948934275087</v>
      </c>
    </row>
    <row r="4" customFormat="false" ht="15" hidden="false" customHeight="false" outlineLevel="0" collapsed="false">
      <c r="A4" s="20" t="n">
        <f aca="false">A3+Supuestos!$B$7</f>
        <v>-0.1</v>
      </c>
      <c r="B4" s="21" t="n">
        <f aca="false">Supuestos!$B$2*(1+A4)</f>
        <v>108</v>
      </c>
      <c r="C4" s="17" t="n">
        <f aca="false">Supuestos!$B$5*(B4/Supuestos!$B$2)^(-Supuestos!$B$6)</f>
        <v>936.971158568409</v>
      </c>
      <c r="D4" s="18" t="n">
        <f aca="false">B4*C4</f>
        <v>101192.885125388</v>
      </c>
      <c r="E4" s="18" t="n">
        <f aca="false">C4*Supuestos!$B$3</f>
        <v>42163.7021355784</v>
      </c>
      <c r="F4" s="18" t="n">
        <f aca="false">D4-E4</f>
        <v>59029.1829898097</v>
      </c>
      <c r="G4" s="19" t="n">
        <f aca="false">F4-Supuestos!$B$4</f>
        <v>21029.1829898097</v>
      </c>
      <c r="H4" s="17" t="n">
        <f aca="false">IF(B4&gt;Supuestos!$B$3,Supuestos!$B$4/(B4-Supuestos!$B$3),"n/a")</f>
        <v>603.174603174603</v>
      </c>
      <c r="I4" s="22" t="n">
        <f aca="false">IFERROR((C4-H4)/C4,"n/a")</f>
        <v>0.356250619180009</v>
      </c>
    </row>
    <row r="5" customFormat="false" ht="15" hidden="false" customHeight="false" outlineLevel="0" collapsed="false">
      <c r="A5" s="20" t="n">
        <f aca="false">A4+Supuestos!$B$7</f>
        <v>-0.05</v>
      </c>
      <c r="B5" s="21" t="n">
        <f aca="false">Supuestos!$B$2*(1+A5)</f>
        <v>114</v>
      </c>
      <c r="C5" s="17" t="n">
        <f aca="false">Supuestos!$B$5*(B5/Supuestos!$B$2)^(-Supuestos!$B$6)</f>
        <v>863.981770176972</v>
      </c>
      <c r="D5" s="18" t="n">
        <f aca="false">B5*C5</f>
        <v>98493.9218001748</v>
      </c>
      <c r="E5" s="18" t="n">
        <f aca="false">C5*Supuestos!$B$3</f>
        <v>38879.1796579637</v>
      </c>
      <c r="F5" s="18" t="n">
        <f aca="false">D5-E5</f>
        <v>59614.7421422111</v>
      </c>
      <c r="G5" s="19" t="n">
        <f aca="false">F5-Supuestos!$B$4</f>
        <v>21614.7421422111</v>
      </c>
      <c r="H5" s="17" t="n">
        <f aca="false">IF(B5&gt;Supuestos!$B$3,Supuestos!$B$4/(B5-Supuestos!$B$3),"n/a")</f>
        <v>550.724637681159</v>
      </c>
      <c r="I5" s="22" t="n">
        <f aca="false">IFERROR((C5-H5)/C5,"n/a")</f>
        <v>0.362573775638399</v>
      </c>
    </row>
    <row r="6" customFormat="false" ht="15" hidden="false" customHeight="false" outlineLevel="0" collapsed="false">
      <c r="A6" s="20" t="n">
        <f aca="false">A5+Supuestos!$B$7</f>
        <v>0</v>
      </c>
      <c r="B6" s="21" t="n">
        <f aca="false">Supuestos!$B$2*(1+A6)</f>
        <v>120</v>
      </c>
      <c r="C6" s="17" t="n">
        <f aca="false">Supuestos!$B$5*(B6/Supuestos!$B$2)^(-Supuestos!$B$6)</f>
        <v>800</v>
      </c>
      <c r="D6" s="18" t="n">
        <f aca="false">B6*C6</f>
        <v>96000</v>
      </c>
      <c r="E6" s="18" t="n">
        <f aca="false">C6*Supuestos!$B$3</f>
        <v>36000</v>
      </c>
      <c r="F6" s="18" t="n">
        <f aca="false">D6-E6</f>
        <v>60000</v>
      </c>
      <c r="G6" s="19" t="n">
        <f aca="false">F6-Supuestos!$B$4</f>
        <v>22000</v>
      </c>
      <c r="H6" s="17" t="n">
        <f aca="false">IF(B6&gt;Supuestos!$B$3,Supuestos!$B$4/(B6-Supuestos!$B$3),"n/a")</f>
        <v>506.666666666667</v>
      </c>
      <c r="I6" s="22" t="n">
        <f aca="false">IFERROR((C6-H6)/C6,"n/a")</f>
        <v>0.366666666666667</v>
      </c>
    </row>
    <row r="7" customFormat="false" ht="15" hidden="false" customHeight="false" outlineLevel="0" collapsed="false">
      <c r="A7" s="20" t="n">
        <f aca="false">A6+Supuestos!$B$7</f>
        <v>0.05</v>
      </c>
      <c r="B7" s="21" t="n">
        <f aca="false">Supuestos!$B$2*(1+A7)</f>
        <v>126</v>
      </c>
      <c r="C7" s="17" t="n">
        <f aca="false">Supuestos!$B$5*(B7/Supuestos!$B$2)^(-Supuestos!$B$6)</f>
        <v>743.542912722692</v>
      </c>
      <c r="D7" s="18" t="n">
        <f aca="false">B7*C7</f>
        <v>93686.4070030592</v>
      </c>
      <c r="E7" s="18" t="n">
        <f aca="false">C7*Supuestos!$B$3</f>
        <v>33459.4310725211</v>
      </c>
      <c r="F7" s="18" t="n">
        <f aca="false">D7-E7</f>
        <v>60226.9759305381</v>
      </c>
      <c r="G7" s="19" t="n">
        <f aca="false">F7-Supuestos!$B$4</f>
        <v>22226.9759305381</v>
      </c>
      <c r="H7" s="17" t="n">
        <f aca="false">IF(B7&gt;Supuestos!$B$3,Supuestos!$B$4/(B7-Supuestos!$B$3),"n/a")</f>
        <v>469.135802469136</v>
      </c>
      <c r="I7" s="22" t="n">
        <f aca="false">IFERROR((C7-H7)/C7,"n/a")</f>
        <v>0.369053494503414</v>
      </c>
    </row>
    <row r="8" customFormat="false" ht="15" hidden="false" customHeight="false" outlineLevel="0" collapsed="false">
      <c r="A8" s="20" t="n">
        <f aca="false">A7+Supuestos!$B$7</f>
        <v>0.1</v>
      </c>
      <c r="B8" s="21" t="n">
        <f aca="false">Supuestos!$B$2*(1+A8)</f>
        <v>132</v>
      </c>
      <c r="C8" s="17" t="n">
        <f aca="false">Supuestos!$B$5*(B8/Supuestos!$B$2)^(-Supuestos!$B$6)</f>
        <v>693.427337633158</v>
      </c>
      <c r="D8" s="18" t="n">
        <f aca="false">B8*C8</f>
        <v>91532.4085675768</v>
      </c>
      <c r="E8" s="18" t="n">
        <f aca="false">C8*Supuestos!$B$3</f>
        <v>31204.2301934921</v>
      </c>
      <c r="F8" s="18" t="n">
        <f aca="false">D8-E8</f>
        <v>60328.1783740847</v>
      </c>
      <c r="G8" s="19" t="n">
        <f aca="false">F8-Supuestos!$B$4</f>
        <v>22328.1783740847</v>
      </c>
      <c r="H8" s="17" t="n">
        <f aca="false">IF(B8&gt;Supuestos!$B$3,Supuestos!$B$4/(B8-Supuestos!$B$3),"n/a")</f>
        <v>436.781609195402</v>
      </c>
      <c r="I8" s="22" t="n">
        <f aca="false">IFERROR((C8-H8)/C8,"n/a")</f>
        <v>0.370111927392064</v>
      </c>
    </row>
    <row r="9" customFormat="false" ht="15" hidden="false" customHeight="false" outlineLevel="0" collapsed="false">
      <c r="A9" s="20" t="n">
        <f aca="false">A8+Supuestos!$B$7</f>
        <v>0.15</v>
      </c>
      <c r="B9" s="21" t="n">
        <f aca="false">Supuestos!$B$2*(1+A9)</f>
        <v>138</v>
      </c>
      <c r="C9" s="17" t="n">
        <f aca="false">Supuestos!$B$5*(B9/Supuestos!$B$2)^(-Supuestos!$B$6)</f>
        <v>648.69899703674</v>
      </c>
      <c r="D9" s="18" t="n">
        <f aca="false">B9*C9</f>
        <v>89520.4615910701</v>
      </c>
      <c r="E9" s="18" t="n">
        <f aca="false">C9*Supuestos!$B$3</f>
        <v>29191.4548666533</v>
      </c>
      <c r="F9" s="18" t="n">
        <f aca="false">D9-E9</f>
        <v>60329.0067244168</v>
      </c>
      <c r="G9" s="19" t="n">
        <f aca="false">F9-Supuestos!$B$4</f>
        <v>22329.0067244168</v>
      </c>
      <c r="H9" s="17" t="n">
        <f aca="false">IF(B9&gt;Supuestos!$B$3,Supuestos!$B$4/(B9-Supuestos!$B$3),"n/a")</f>
        <v>408.602150537634</v>
      </c>
      <c r="I9" s="22" t="n">
        <f aca="false">IFERROR((C9-H9)/C9,"n/a")</f>
        <v>0.370120576100578</v>
      </c>
    </row>
    <row r="10" customFormat="false" ht="15" hidden="false" customHeight="false" outlineLevel="0" collapsed="false">
      <c r="A10" s="20" t="n">
        <f aca="false">A9+Supuestos!$B$7</f>
        <v>0.2</v>
      </c>
      <c r="B10" s="21" t="n">
        <f aca="false">Supuestos!$B$2*(1+A10)</f>
        <v>144</v>
      </c>
      <c r="C10" s="17" t="n">
        <f aca="false">Supuestos!$B$5*(B10/Supuestos!$B$2)^(-Supuestos!$B$6)</f>
        <v>608.580619450185</v>
      </c>
      <c r="D10" s="18" t="n">
        <f aca="false">B10*C10</f>
        <v>87635.6092008266</v>
      </c>
      <c r="E10" s="18" t="n">
        <f aca="false">C10*Supuestos!$B$3</f>
        <v>27386.1278752583</v>
      </c>
      <c r="F10" s="18" t="n">
        <f aca="false">D10-E10</f>
        <v>60249.4813255683</v>
      </c>
      <c r="G10" s="19" t="n">
        <f aca="false">F10-Supuestos!$B$4</f>
        <v>22249.4813255683</v>
      </c>
      <c r="H10" s="17" t="n">
        <f aca="false">IF(B10&gt;Supuestos!$B$3,Supuestos!$B$4/(B10-Supuestos!$B$3),"n/a")</f>
        <v>383.838383838384</v>
      </c>
      <c r="I10" s="22" t="n">
        <f aca="false">IFERROR((C10-H10)/C10,"n/a")</f>
        <v>0.369289176206172</v>
      </c>
    </row>
    <row r="11" customFormat="false" ht="15" hidden="false" customHeight="false" outlineLevel="0" collapsed="false">
      <c r="A11" s="20" t="n">
        <f aca="false">A10+Supuestos!$B$7</f>
        <v>0.25</v>
      </c>
      <c r="B11" s="21" t="n">
        <f aca="false">Supuestos!$B$2*(1+A11)</f>
        <v>150</v>
      </c>
      <c r="C11" s="17" t="n">
        <f aca="false">Supuestos!$B$5*(B11/Supuestos!$B$2)^(-Supuestos!$B$6)</f>
        <v>572.433402239946</v>
      </c>
      <c r="D11" s="18" t="n">
        <f aca="false">B11*C11</f>
        <v>85865.0103359919</v>
      </c>
      <c r="E11" s="18" t="n">
        <f aca="false">C11*Supuestos!$B$3</f>
        <v>25759.5031007976</v>
      </c>
      <c r="F11" s="18" t="n">
        <f aca="false">D11-E11</f>
        <v>60105.5072351944</v>
      </c>
      <c r="G11" s="19" t="n">
        <f aca="false">F11-Supuestos!$B$4</f>
        <v>22105.5072351944</v>
      </c>
      <c r="H11" s="17" t="n">
        <f aca="false">IF(B11&gt;Supuestos!$B$3,Supuestos!$B$4/(B11-Supuestos!$B$3),"n/a")</f>
        <v>361.904761904762</v>
      </c>
      <c r="I11" s="22" t="n">
        <f aca="false">IFERROR((C11-H11)/C11,"n/a")</f>
        <v>0.367778399218809</v>
      </c>
    </row>
    <row r="12" customFormat="false" ht="15" hidden="false" customHeight="false" outlineLevel="0" collapsed="false">
      <c r="A12" s="20" t="n">
        <f aca="false">A11+Supuestos!$B$7</f>
        <v>0.3</v>
      </c>
      <c r="B12" s="21" t="n">
        <f aca="false">Supuestos!$B$2*(1+A12)</f>
        <v>156</v>
      </c>
      <c r="C12" s="17" t="n">
        <f aca="false">Supuestos!$B$5*(B12/Supuestos!$B$2)^(-Supuestos!$B$6)</f>
        <v>539.728011881249</v>
      </c>
      <c r="D12" s="18" t="n">
        <f aca="false">B12*C12</f>
        <v>84197.5698534748</v>
      </c>
      <c r="E12" s="18" t="n">
        <f aca="false">C12*Supuestos!$B$3</f>
        <v>24287.7605346562</v>
      </c>
      <c r="F12" s="18" t="n">
        <f aca="false">D12-E12</f>
        <v>59909.8093188186</v>
      </c>
      <c r="G12" s="19" t="n">
        <f aca="false">F12-Supuestos!$B$4</f>
        <v>21909.8093188186</v>
      </c>
      <c r="H12" s="17" t="n">
        <f aca="false">IF(B12&gt;Supuestos!$B$3,Supuestos!$B$4/(B12-Supuestos!$B$3),"n/a")</f>
        <v>342.342342342342</v>
      </c>
      <c r="I12" s="22" t="n">
        <f aca="false">IFERROR((C12-H12)/C12,"n/a")</f>
        <v>0.365713220721876</v>
      </c>
    </row>
    <row r="15" customFormat="false" ht="15" hidden="false" customHeight="false" outlineLevel="0" collapsed="false">
      <c r="A15" s="0" t="s">
        <v>47</v>
      </c>
      <c r="B15" s="23" t="n">
        <f aca="false">INDEX(B2:B12,MATCH(MAX(G2:G12),G2:G12,0))</f>
        <v>138</v>
      </c>
    </row>
    <row r="16" customFormat="false" ht="15" hidden="false" customHeight="false" outlineLevel="0" collapsed="false">
      <c r="A16" s="0" t="s">
        <v>48</v>
      </c>
      <c r="B16" s="24" t="n">
        <f aca="false">MAX(G2:G12)</f>
        <v>22329.0067244168</v>
      </c>
    </row>
    <row r="17" customFormat="false" ht="15" hidden="false" customHeight="false" outlineLevel="0" collapsed="false">
      <c r="A17" s="0" t="s">
        <v>49</v>
      </c>
      <c r="B17" s="25" t="n">
        <f aca="false">B16-Equilibrio!B7</f>
        <v>329.006724416831</v>
      </c>
    </row>
    <row r="18" customFormat="false" ht="15" hidden="false" customHeight="false" outlineLevel="0" collapsed="false">
      <c r="A18" s="0" t="s">
        <v>50</v>
      </c>
      <c r="B18" s="21" t="n">
        <f aca="false">IF(Supuestos!B6&gt;1,Supuestos!B6/(Supuestos!B6-1)*Supuestos!B3,"n/a (e ≤ 1)")</f>
        <v>135</v>
      </c>
    </row>
    <row r="19" customFormat="false" ht="15" hidden="false" customHeight="false" outlineLevel="0" collapsed="false">
      <c r="A19" s="9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14"/>
  </cols>
  <sheetData>
    <row r="1" customFormat="false" ht="15" hidden="false" customHeight="false" outlineLevel="0" collapsed="false">
      <c r="A1" s="1" t="s">
        <v>52</v>
      </c>
    </row>
    <row r="2" customFormat="false" ht="15" hidden="false" customHeight="false" outlineLevel="0" collapsed="false">
      <c r="A2" s="26" t="s">
        <v>53</v>
      </c>
      <c r="B2" s="27" t="n">
        <v>0.5</v>
      </c>
      <c r="C2" s="27" t="n">
        <v>1</v>
      </c>
      <c r="D2" s="27" t="n">
        <v>1.5</v>
      </c>
      <c r="E2" s="27" t="n">
        <v>2</v>
      </c>
      <c r="F2" s="27" t="n">
        <v>2.5</v>
      </c>
    </row>
    <row r="3" customFormat="false" ht="15" hidden="false" customHeight="false" outlineLevel="0" collapsed="false">
      <c r="A3" s="20" t="n">
        <f aca="false">Sensibilidad!A2</f>
        <v>-0.2</v>
      </c>
      <c r="B3" s="19" t="n">
        <f aca="false">Supuestos!$B$5*(1+$A3)^(-B$2)*Supuestos!$B$2*(1+$A3)-Supuestos!$B$5*(1+$A3)^(-B$2)*Supuestos!$B$3-Supuestos!$B$4</f>
        <v>7615.78674099572</v>
      </c>
      <c r="C3" s="19" t="n">
        <f aca="false">Supuestos!$B$5*(1+$A3)^(-C$2)*Supuestos!$B$2*(1+$A3)-Supuestos!$B$5*(1+$A3)^(-C$2)*Supuestos!$B$3-Supuestos!$B$4</f>
        <v>13000</v>
      </c>
      <c r="D3" s="19" t="n">
        <f aca="false">Supuestos!$B$5*(1+$A3)^(-D$2)*Supuestos!$B$2*(1+$A3)-Supuestos!$B$5*(1+$A3)^(-D$2)*Supuestos!$B$3-Supuestos!$B$4</f>
        <v>19019.7334262446</v>
      </c>
      <c r="E3" s="19" t="n">
        <f aca="false">Supuestos!$B$5*(1+$A3)^(-E$2)*Supuestos!$B$2*(1+$A3)-Supuestos!$B$5*(1+$A3)^(-E$2)*Supuestos!$B$3-Supuestos!$B$4</f>
        <v>25750</v>
      </c>
      <c r="F3" s="19" t="n">
        <f aca="false">Supuestos!$B$5*(1+$A3)^(-F$2)*Supuestos!$B$2*(1+$A3)-Supuestos!$B$5*(1+$A3)^(-F$2)*Supuestos!$B$3-Supuestos!$B$4</f>
        <v>33274.6667828058</v>
      </c>
    </row>
    <row r="4" customFormat="false" ht="15" hidden="false" customHeight="false" outlineLevel="0" collapsed="false">
      <c r="A4" s="20" t="n">
        <f aca="false">Sensibilidad!A3</f>
        <v>-0.15</v>
      </c>
      <c r="B4" s="19" t="n">
        <f aca="false">Supuestos!$B$5*(1+$A4)^(-B$2)*Supuestos!$B$2*(1+$A4)-Supuestos!$B$5*(1+$A4)^(-B$2)*Supuestos!$B$3-Supuestos!$B$4</f>
        <v>11460.1443826536</v>
      </c>
      <c r="C4" s="19" t="n">
        <f aca="false">Supuestos!$B$5*(1+$A4)^(-C$2)*Supuestos!$B$2*(1+$A4)-Supuestos!$B$5*(1+$A4)^(-C$2)*Supuestos!$B$3-Supuestos!$B$4</f>
        <v>15647.0588235294</v>
      </c>
      <c r="D4" s="19" t="n">
        <f aca="false">Supuestos!$B$5*(1+$A4)^(-D$2)*Supuestos!$B$2*(1+$A4)-Supuestos!$B$5*(1+$A4)^(-D$2)*Supuestos!$B$3-Supuestos!$B$4</f>
        <v>20188.4051560631</v>
      </c>
      <c r="E4" s="19" t="n">
        <f aca="false">Supuestos!$B$5*(1+$A4)^(-E$2)*Supuestos!$B$2*(1+$A4)-Supuestos!$B$5*(1+$A4)^(-E$2)*Supuestos!$B$3-Supuestos!$B$4</f>
        <v>25114.1868512111</v>
      </c>
      <c r="F4" s="19" t="n">
        <f aca="false">Supuestos!$B$5*(1+$A4)^(-F$2)*Supuestos!$B$2*(1+$A4)-Supuestos!$B$5*(1+$A4)^(-F$2)*Supuestos!$B$3-Supuestos!$B$4</f>
        <v>30456.9472424272</v>
      </c>
    </row>
    <row r="5" customFormat="false" ht="15" hidden="false" customHeight="false" outlineLevel="0" collapsed="false">
      <c r="A5" s="20" t="n">
        <f aca="false">Sensibilidad!A4</f>
        <v>-0.1</v>
      </c>
      <c r="B5" s="19" t="n">
        <f aca="false">Supuestos!$B$5*(1+$A5)^(-B$2)*Supuestos!$B$2*(1+$A5)-Supuestos!$B$5*(1+$A5)^(-B$2)*Supuestos!$B$3-Supuestos!$B$4</f>
        <v>15126.2646908288</v>
      </c>
      <c r="C5" s="19" t="n">
        <f aca="false">Supuestos!$B$5*(1+$A5)^(-C$2)*Supuestos!$B$2*(1+$A5)-Supuestos!$B$5*(1+$A5)^(-C$2)*Supuestos!$B$3-Supuestos!$B$4</f>
        <v>18000</v>
      </c>
      <c r="D5" s="19" t="n">
        <f aca="false">Supuestos!$B$5*(1+$A5)^(-D$2)*Supuestos!$B$2*(1+$A5)-Supuestos!$B$5*(1+$A5)^(-D$2)*Supuestos!$B$3-Supuestos!$B$4</f>
        <v>21029.1829898097</v>
      </c>
      <c r="E5" s="19" t="n">
        <f aca="false">Supuestos!$B$5*(1+$A5)^(-E$2)*Supuestos!$B$2*(1+$A5)-Supuestos!$B$5*(1+$A5)^(-E$2)*Supuestos!$B$3-Supuestos!$B$4</f>
        <v>24222.2222222222</v>
      </c>
      <c r="F5" s="19" t="n">
        <f aca="false">Supuestos!$B$5*(1+$A5)^(-F$2)*Supuestos!$B$2*(1+$A5)-Supuestos!$B$5*(1+$A5)^(-F$2)*Supuestos!$B$3-Supuestos!$B$4</f>
        <v>27587.9810997886</v>
      </c>
    </row>
    <row r="6" customFormat="false" ht="15" hidden="false" customHeight="false" outlineLevel="0" collapsed="false">
      <c r="A6" s="20" t="n">
        <f aca="false">Sensibilidad!A5</f>
        <v>-0.05</v>
      </c>
      <c r="B6" s="19" t="n">
        <f aca="false">Supuestos!$B$5*(1+$A6)^(-B$2)*Supuestos!$B$2*(1+$A6)-Supuestos!$B$5*(1+$A6)^(-B$2)*Supuestos!$B$3-Supuestos!$B$4</f>
        <v>18634.0050351005</v>
      </c>
      <c r="C6" s="19" t="n">
        <f aca="false">Supuestos!$B$5*(1+$A6)^(-C$2)*Supuestos!$B$2*(1+$A6)-Supuestos!$B$5*(1+$A6)^(-C$2)*Supuestos!$B$3-Supuestos!$B$4</f>
        <v>20105.2631578947</v>
      </c>
      <c r="D6" s="19" t="n">
        <f aca="false">Supuestos!$B$5*(1+$A6)^(-D$2)*Supuestos!$B$2*(1+$A6)-Supuestos!$B$5*(1+$A6)^(-D$2)*Supuestos!$B$3-Supuestos!$B$4</f>
        <v>21614.7421422111</v>
      </c>
      <c r="E6" s="19" t="n">
        <f aca="false">Supuestos!$B$5*(1+$A6)^(-E$2)*Supuestos!$B$2*(1+$A6)-Supuestos!$B$5*(1+$A6)^(-E$2)*Supuestos!$B$3-Supuestos!$B$4</f>
        <v>23163.4349030471</v>
      </c>
      <c r="F6" s="19" t="n">
        <f aca="false">Supuestos!$B$5*(1+$A6)^(-F$2)*Supuestos!$B$2*(1+$A6)-Supuestos!$B$5*(1+$A6)^(-F$2)*Supuestos!$B$3-Supuestos!$B$4</f>
        <v>24752.3601496959</v>
      </c>
    </row>
    <row r="7" customFormat="false" ht="15" hidden="false" customHeight="false" outlineLevel="0" collapsed="false">
      <c r="A7" s="20" t="n">
        <f aca="false">Sensibilidad!A6</f>
        <v>0</v>
      </c>
      <c r="B7" s="19" t="n">
        <f aca="false">Supuestos!$B$5*(1+$A7)^(-B$2)*Supuestos!$B$2*(1+$A7)-Supuestos!$B$5*(1+$A7)^(-B$2)*Supuestos!$B$3-Supuestos!$B$4</f>
        <v>22000</v>
      </c>
      <c r="C7" s="19" t="n">
        <f aca="false">Supuestos!$B$5*(1+$A7)^(-C$2)*Supuestos!$B$2*(1+$A7)-Supuestos!$B$5*(1+$A7)^(-C$2)*Supuestos!$B$3-Supuestos!$B$4</f>
        <v>22000</v>
      </c>
      <c r="D7" s="19" t="n">
        <f aca="false">Supuestos!$B$5*(1+$A7)^(-D$2)*Supuestos!$B$2*(1+$A7)-Supuestos!$B$5*(1+$A7)^(-D$2)*Supuestos!$B$3-Supuestos!$B$4</f>
        <v>22000</v>
      </c>
      <c r="E7" s="19" t="n">
        <f aca="false">Supuestos!$B$5*(1+$A7)^(-E$2)*Supuestos!$B$2*(1+$A7)-Supuestos!$B$5*(1+$A7)^(-E$2)*Supuestos!$B$3-Supuestos!$B$4</f>
        <v>22000</v>
      </c>
      <c r="F7" s="19" t="n">
        <f aca="false">Supuestos!$B$5*(1+$A7)^(-F$2)*Supuestos!$B$2*(1+$A7)-Supuestos!$B$5*(1+$A7)^(-F$2)*Supuestos!$B$3-Supuestos!$B$4</f>
        <v>22000</v>
      </c>
    </row>
    <row r="8" customFormat="false" ht="15" hidden="false" customHeight="false" outlineLevel="0" collapsed="false">
      <c r="A8" s="20" t="n">
        <f aca="false">Sensibilidad!A7</f>
        <v>0.05</v>
      </c>
      <c r="B8" s="19" t="n">
        <f aca="false">Supuestos!$B$5*(1+$A8)^(-B$2)*Supuestos!$B$2*(1+$A8)-Supuestos!$B$5*(1+$A8)^(-B$2)*Supuestos!$B$3-Supuestos!$B$4</f>
        <v>25238.324727065</v>
      </c>
      <c r="C8" s="19" t="n">
        <f aca="false">Supuestos!$B$5*(1+$A8)^(-C$2)*Supuestos!$B$2*(1+$A8)-Supuestos!$B$5*(1+$A8)^(-C$2)*Supuestos!$B$3-Supuestos!$B$4</f>
        <v>23714.2857142857</v>
      </c>
      <c r="D8" s="19" t="n">
        <f aca="false">Supuestos!$B$5*(1+$A8)^(-D$2)*Supuestos!$B$2*(1+$A8)-Supuestos!$B$5*(1+$A8)^(-D$2)*Supuestos!$B$3-Supuestos!$B$4</f>
        <v>22226.975930538</v>
      </c>
      <c r="E8" s="19" t="n">
        <f aca="false">Supuestos!$B$5*(1+$A8)^(-E$2)*Supuestos!$B$2*(1+$A8)-Supuestos!$B$5*(1+$A8)^(-E$2)*Supuestos!$B$3-Supuestos!$B$4</f>
        <v>20775.5102040816</v>
      </c>
      <c r="F8" s="19" t="n">
        <f aca="false">Supuestos!$B$5*(1+$A8)^(-F$2)*Supuestos!$B$2*(1+$A8)-Supuestos!$B$5*(1+$A8)^(-F$2)*Supuestos!$B$3-Supuestos!$B$4</f>
        <v>19359.0246957505</v>
      </c>
    </row>
    <row r="9" customFormat="false" ht="15" hidden="false" customHeight="false" outlineLevel="0" collapsed="false">
      <c r="A9" s="20" t="n">
        <f aca="false">Sensibilidad!A8</f>
        <v>0.1</v>
      </c>
      <c r="B9" s="19" t="n">
        <f aca="false">Supuestos!$B$5*(1+$A9)^(-B$2)*Supuestos!$B$2*(1+$A9)-Supuestos!$B$5*(1+$A9)^(-B$2)*Supuestos!$B$3-Supuestos!$B$4</f>
        <v>28360.9962114932</v>
      </c>
      <c r="C9" s="19" t="n">
        <f aca="false">Supuestos!$B$5*(1+$A9)^(-C$2)*Supuestos!$B$2*(1+$A9)-Supuestos!$B$5*(1+$A9)^(-C$2)*Supuestos!$B$3-Supuestos!$B$4</f>
        <v>25272.7272727273</v>
      </c>
      <c r="D9" s="19" t="n">
        <f aca="false">Supuestos!$B$5*(1+$A9)^(-D$2)*Supuestos!$B$2*(1+$A9)-Supuestos!$B$5*(1+$A9)^(-D$2)*Supuestos!$B$3-Supuestos!$B$4</f>
        <v>22328.1783740847</v>
      </c>
      <c r="E9" s="19" t="n">
        <f aca="false">Supuestos!$B$5*(1+$A9)^(-E$2)*Supuestos!$B$2*(1+$A9)-Supuestos!$B$5*(1+$A9)^(-E$2)*Supuestos!$B$3-Supuestos!$B$4</f>
        <v>19520.6611570248</v>
      </c>
      <c r="F9" s="19" t="n">
        <f aca="false">Supuestos!$B$5*(1+$A9)^(-F$2)*Supuestos!$B$2*(1+$A9)-Supuestos!$B$5*(1+$A9)^(-F$2)*Supuestos!$B$3-Supuestos!$B$4</f>
        <v>16843.7985218952</v>
      </c>
    </row>
    <row r="10" customFormat="false" ht="15" hidden="false" customHeight="false" outlineLevel="0" collapsed="false">
      <c r="A10" s="20" t="n">
        <f aca="false">Sensibilidad!A9</f>
        <v>0.15</v>
      </c>
      <c r="B10" s="19" t="n">
        <f aca="false">Supuestos!$B$5*(1+$A10)^(-B$2)*Supuestos!$B$2*(1+$A10)-Supuestos!$B$5*(1+$A10)^(-B$2)*Supuestos!$B$3-Supuestos!$B$4</f>
        <v>31378.3577330793</v>
      </c>
      <c r="C10" s="19" t="n">
        <f aca="false">Supuestos!$B$5*(1+$A10)^(-C$2)*Supuestos!$B$2*(1+$A10)-Supuestos!$B$5*(1+$A10)^(-C$2)*Supuestos!$B$3-Supuestos!$B$4</f>
        <v>26695.652173913</v>
      </c>
      <c r="D10" s="19" t="n">
        <f aca="false">Supuestos!$B$5*(1+$A10)^(-D$2)*Supuestos!$B$2*(1+$A10)-Supuestos!$B$5*(1+$A10)^(-D$2)*Supuestos!$B$3-Supuestos!$B$4</f>
        <v>22329.0067244168</v>
      </c>
      <c r="E10" s="19" t="n">
        <f aca="false">Supuestos!$B$5*(1+$A10)^(-E$2)*Supuestos!$B$2*(1+$A10)-Supuestos!$B$5*(1+$A10)^(-E$2)*Supuestos!$B$3-Supuestos!$B$4</f>
        <v>18257.0888468809</v>
      </c>
      <c r="F10" s="19" t="n">
        <f aca="false">Supuestos!$B$5*(1+$A10)^(-F$2)*Supuestos!$B$2*(1+$A10)-Supuestos!$B$5*(1+$A10)^(-F$2)*Supuestos!$B$3-Supuestos!$B$4</f>
        <v>14460.005847319</v>
      </c>
    </row>
    <row r="11" customFormat="false" ht="15" hidden="false" customHeight="false" outlineLevel="0" collapsed="false">
      <c r="A11" s="20" t="n">
        <f aca="false">Sensibilidad!A10</f>
        <v>0.2</v>
      </c>
      <c r="B11" s="19" t="n">
        <f aca="false">Supuestos!$B$5*(1+$A11)^(-B$2)*Supuestos!$B$2*(1+$A11)-Supuestos!$B$5*(1+$A11)^(-B$2)*Supuestos!$B$3-Supuestos!$B$4</f>
        <v>34299.3775906819</v>
      </c>
      <c r="C11" s="19" t="n">
        <f aca="false">Supuestos!$B$5*(1+$A11)^(-C$2)*Supuestos!$B$2*(1+$A11)-Supuestos!$B$5*(1+$A11)^(-C$2)*Supuestos!$B$3-Supuestos!$B$4</f>
        <v>28000</v>
      </c>
      <c r="D11" s="19" t="n">
        <f aca="false">Supuestos!$B$5*(1+$A11)^(-D$2)*Supuestos!$B$2*(1+$A11)-Supuestos!$B$5*(1+$A11)^(-D$2)*Supuestos!$B$3-Supuestos!$B$4</f>
        <v>22249.4813255683</v>
      </c>
      <c r="E11" s="19" t="n">
        <f aca="false">Supuestos!$B$5*(1+$A11)^(-E$2)*Supuestos!$B$2*(1+$A11)-Supuestos!$B$5*(1+$A11)^(-E$2)*Supuestos!$B$3-Supuestos!$B$4</f>
        <v>17000</v>
      </c>
      <c r="F11" s="19" t="n">
        <f aca="false">Supuestos!$B$5*(1+$A11)^(-F$2)*Supuestos!$B$2*(1+$A11)-Supuestos!$B$5*(1+$A11)^(-F$2)*Supuestos!$B$3-Supuestos!$B$4</f>
        <v>12207.9011046402</v>
      </c>
    </row>
    <row r="12" customFormat="false" ht="15" hidden="false" customHeight="false" outlineLevel="0" collapsed="false">
      <c r="A12" s="20" t="n">
        <f aca="false">Sensibilidad!A11</f>
        <v>0.25</v>
      </c>
      <c r="B12" s="19" t="n">
        <f aca="false">Supuestos!$B$5*(1+$A12)^(-B$2)*Supuestos!$B$2*(1+$A12)-Supuestos!$B$5*(1+$A12)^(-B$2)*Supuestos!$B$3-Supuestos!$B$4</f>
        <v>37131.8840439929</v>
      </c>
      <c r="C12" s="19" t="n">
        <f aca="false">Supuestos!$B$5*(1+$A12)^(-C$2)*Supuestos!$B$2*(1+$A12)-Supuestos!$B$5*(1+$A12)^(-C$2)*Supuestos!$B$3-Supuestos!$B$4</f>
        <v>29200</v>
      </c>
      <c r="D12" s="19" t="n">
        <f aca="false">Supuestos!$B$5*(1+$A12)^(-D$2)*Supuestos!$B$2*(1+$A12)-Supuestos!$B$5*(1+$A12)^(-D$2)*Supuestos!$B$3-Supuestos!$B$4</f>
        <v>22105.5072351944</v>
      </c>
      <c r="E12" s="19" t="n">
        <f aca="false">Supuestos!$B$5*(1+$A12)^(-E$2)*Supuestos!$B$2*(1+$A12)-Supuestos!$B$5*(1+$A12)^(-E$2)*Supuestos!$B$3-Supuestos!$B$4</f>
        <v>15760</v>
      </c>
      <c r="F12" s="19" t="n">
        <f aca="false">Supuestos!$B$5*(1+$A12)^(-F$2)*Supuestos!$B$2*(1+$A12)-Supuestos!$B$5*(1+$A12)^(-F$2)*Supuestos!$B$3-Supuestos!$B$4</f>
        <v>10084.4057881555</v>
      </c>
    </row>
    <row r="13" customFormat="false" ht="15" hidden="false" customHeight="false" outlineLevel="0" collapsed="false">
      <c r="A13" s="20" t="n">
        <f aca="false">Sensibilidad!A12</f>
        <v>0.3</v>
      </c>
      <c r="B13" s="19" t="n">
        <f aca="false">Supuestos!$B$5*(1+$A13)^(-B$2)*Supuestos!$B$2*(1+$A13)-Supuestos!$B$5*(1+$A13)^(-B$2)*Supuestos!$B$3-Supuestos!$B$4</f>
        <v>39882.7521144642</v>
      </c>
      <c r="C13" s="19" t="n">
        <f aca="false">Supuestos!$B$5*(1+$A13)^(-C$2)*Supuestos!$B$2*(1+$A13)-Supuestos!$B$5*(1+$A13)^(-C$2)*Supuestos!$B$3-Supuestos!$B$4</f>
        <v>30307.6923076923</v>
      </c>
      <c r="D13" s="19" t="n">
        <f aca="false">Supuestos!$B$5*(1+$A13)^(-D$2)*Supuestos!$B$2*(1+$A13)-Supuestos!$B$5*(1+$A13)^(-D$2)*Supuestos!$B$3-Supuestos!$B$4</f>
        <v>21909.8093188186</v>
      </c>
      <c r="E13" s="19" t="n">
        <f aca="false">Supuestos!$B$5*(1+$A13)^(-E$2)*Supuestos!$B$2*(1+$A13)-Supuestos!$B$5*(1+$A13)^(-E$2)*Supuestos!$B$3-Supuestos!$B$4</f>
        <v>14544.3786982249</v>
      </c>
      <c r="F13" s="19" t="n">
        <f aca="false">Supuestos!$B$5*(1+$A13)^(-F$2)*Supuestos!$B$2*(1+$A13)-Supuestos!$B$5*(1+$A13)^(-F$2)*Supuestos!$B$3-Supuestos!$B$4</f>
        <v>8084.46870678355</v>
      </c>
    </row>
    <row r="15" customFormat="false" ht="15" hidden="false" customHeight="false" outlineLevel="0" collapsed="false">
      <c r="A15" s="9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2026-10-23T17:07:04Z</dcterms:created>
  <dc:creator>openpyxl</dc:creator>
  <dc:description/>
  <dc:language>en-US</dc:language>
  <cp:lastModifiedBy/>
  <dcterms:modified xsi:type="dcterms:W3CDTF">2026-10-23T14:07:06Z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