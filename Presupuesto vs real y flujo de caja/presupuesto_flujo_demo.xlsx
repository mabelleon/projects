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" sheetId="2" state="visible" r:id="rId4"/>
    <sheet name="Supuestos" sheetId="3" state="visible" r:id="rId5"/>
    <sheet name="Datos" sheetId="4" state="visible" r:id="rId6"/>
    <sheet name="Presupuesto_vs_Real" sheetId="5" state="visible" r:id="rId7"/>
    <sheet name="Flujo_Base" sheetId="6" state="visible" r:id="rId8"/>
    <sheet name="Flujo_Optimista" sheetId="7" state="visible" r:id="rId9"/>
    <sheet name="Flujo_Pesimis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<sst xmlns="http://schemas.openxmlformats.org/spreadsheetml/2006/main" count="192" uniqueCount="105">
  <si>
    <t xml:space="preserve">Presupuesto vs. real y flujo de caja a 12 meses (datos ficticios)</t>
  </si>
  <si>
    <t xml:space="preserve">Caso de ejemplo: unidad de servicios de un centro de salud. Todas las cifras son inventadas; el año es ilustrativo.</t>
  </si>
  <si>
    <t xml:space="preserve">Hojas:</t>
  </si>
  <si>
    <t xml:space="preserve">Supuestos: caja inicial, caja mínima, cobranza y tabla de escenarios (celdas azules con fondo amarillo = editables).</t>
  </si>
  <si>
    <t xml:space="preserve">Datos: tabla plana mes a mes con presupuesto y real (Ene–Jun real). Lista para conectarse a Power BI.</t>
  </si>
  <si>
    <t xml:space="preserve">Presupuesto_vs_Real: variación de ingresos separada en efecto volumen y efecto precio, y variación de utilidad.</t>
  </si>
  <si>
    <t xml:space="preserve">Flujo_Base / Flujo_Optimista / Flujo_Pesimista: 6 meses reales + 6 proyectados, cobros, pagos, caja final y alerta.</t>
  </si>
  <si>
    <t xml:space="preserve">Resumen: comparación de escenarios contra el presupuesto anual y gráfico de caja.</t>
  </si>
  <si>
    <t xml:space="preserve">Código de colores: azul = dato de entrada; negro = fórmula; verde = resultado clave.</t>
  </si>
  <si>
    <t xml:space="preserve">Proyección: los meses Jul–Dic parten del promedio de los últimos 3 meses reales (Abr–Jun) y aplican los parámetros del escenario.</t>
  </si>
  <si>
    <t xml:space="preserve">Resumen por escenario (USD)</t>
  </si>
  <si>
    <t xml:space="preserve">Indicador</t>
  </si>
  <si>
    <t xml:space="preserve">Presupuesto</t>
  </si>
  <si>
    <t xml:space="preserve">Base</t>
  </si>
  <si>
    <t xml:space="preserve">Optimista</t>
  </si>
  <si>
    <t xml:space="preserve">Pesimista</t>
  </si>
  <si>
    <t xml:space="preserve">Ingresos del año</t>
  </si>
  <si>
    <t xml:space="preserve">Utilidad operativa del año</t>
  </si>
  <si>
    <t xml:space="preserve">Utilidad vs. presupuesto</t>
  </si>
  <si>
    <t xml:space="preserve">Caja final en diciembre</t>
  </si>
  <si>
    <t xml:space="preserve">Caja mínima del año</t>
  </si>
  <si>
    <t xml:space="preserve">Meses en alerta (caja &lt; mínima)</t>
  </si>
  <si>
    <t xml:space="preserve">Presupuesto = 12 meses de la hoja Datos. Escenarios = 6 meses reales + 6 proyectados.</t>
  </si>
  <si>
    <t xml:space="preserve">Supuesto</t>
  </si>
  <si>
    <t xml:space="preserve">Valor</t>
  </si>
  <si>
    <t xml:space="preserve">Nota</t>
  </si>
  <si>
    <t xml:space="preserve">Caja inicial (USD)</t>
  </si>
  <si>
    <t xml:space="preserve">Saldo al 1 de enero</t>
  </si>
  <si>
    <t xml:space="preserve">Cuentas por cobrar iniciales (USD)</t>
  </si>
  <si>
    <t xml:space="preserve">Se cobran en enero</t>
  </si>
  <si>
    <t xml:space="preserve">Caja mínima (USD)</t>
  </si>
  <si>
    <t xml:space="preserve">Bajo este nivel se activa la alerta</t>
  </si>
  <si>
    <t xml:space="preserve">% de cobro en el mismo mes (meses reales)</t>
  </si>
  <si>
    <t xml:space="preserve">El resto se cobra el mes siguiente</t>
  </si>
  <si>
    <t xml:space="preserve">Escenarios (meses Jul–Dic)</t>
  </si>
  <si>
    <t xml:space="preserve">Crecimiento mensual del volumen</t>
  </si>
  <si>
    <t xml:space="preserve">Variación del precio</t>
  </si>
  <si>
    <t xml:space="preserve">Variación del costo variable unitario</t>
  </si>
  <si>
    <t xml:space="preserve">% de cobro en el mismo mes</t>
  </si>
  <si>
    <t xml:space="preserve">Todos los valores son supuestos del analista (ficticios). Ejemplo de formato: crecimiento 1,0 % = 0.01.</t>
  </si>
  <si>
    <t xml:space="preserve">Mes</t>
  </si>
  <si>
    <t xml:space="preserve">Volumen ppto</t>
  </si>
  <si>
    <t xml:space="preserve">Precio ppto</t>
  </si>
  <si>
    <t xml:space="preserve">Costo var. unit. ppto</t>
  </si>
  <si>
    <t xml:space="preserve">Personal ppto</t>
  </si>
  <si>
    <t xml:space="preserve">Arriendo ppto</t>
  </si>
  <si>
    <t xml:space="preserve">Otros fijos ppto</t>
  </si>
  <si>
    <t xml:space="preserve">Volumen real</t>
  </si>
  <si>
    <t xml:space="preserve">Precio real</t>
  </si>
  <si>
    <t xml:space="preserve">Costo var. unit. real</t>
  </si>
  <si>
    <t xml:space="preserve">Personal real</t>
  </si>
  <si>
    <t xml:space="preserve">Arriendo real</t>
  </si>
  <si>
    <t xml:space="preserve">Otros fijos real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</si>
  <si>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</si>
  <si>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</si>
  <si>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</si>
  <si>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</si>
  <si>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</si>
  <si>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</si>
  <si>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</si>
  <si>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</si>
  <si>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</si>
  <si>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</si>
  <si>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</si>
  <si>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</si>
  <si>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Jul–Dic sin real: se proyectan en las hojas Flujo_*. Datos ficticios.</t>
  </si>
  <si>
    <t xml:space="preserve">Presupuesto vs. real, enero–junio (USD)</t>
  </si>
  <si>
    <t xml:space="preserve">Efecto volumen = (Vol. real − Vol. ppto) × Precio ppto. Efecto precio = (Precio real − Precio ppto) × Vol. real. Suman la variación de ingresos.</t>
  </si>
  <si>
    <t xml:space="preserve">Ingresos ppto</t>
  </si>
  <si>
    <t xml:space="preserve">Ingresos real</t>
  </si>
  <si>
    <t xml:space="preserve">Var. ingresos</t>
  </si>
  <si>
    <t xml:space="preserve">Efecto volumen</t>
  </si>
  <si>
    <t xml:space="preserve">Efecto precio</t>
  </si>
  <si>
    <t xml:space="preserve">Costo variable ppto</t>
  </si>
  <si>
    <t xml:space="preserve">Costo variable real</t>
  </si>
  <si>
    <t xml:space="preserve">Gastos fijos ppto</t>
  </si>
  <si>
    <t xml:space="preserve">Gastos fijos real</t>
  </si>
  <si>
    <t xml:space="preserve">Utilidad ppto</t>
  </si>
  <si>
    <t xml:space="preserve">Utilidad real</t>
  </si>
  <si>
    <t xml:space="preserve">Var. utilidad</t>
  </si>
  <si>
    <t xml:space="preserve">Var. utilidad %</t>
  </si>
  <si>
    <t xml:space="preserve">Chequeo</t>
  </si>
  <si>
    <t xml:space="preserve">Total</t>
  </si>
  <si>
    <t xml:space="preserve">Flujo de caja a 12 meses (USD)</t>
  </si>
  <si>
    <t xml:space="preserve">Escenario (1-3)</t>
  </si>
  <si>
    <t xml:space="preserve">Crec. vol. mensual</t>
  </si>
  <si>
    <t xml:space="preserve">Var. precio</t>
  </si>
  <si>
    <t xml:space="preserve">Var. costo var.</t>
  </si>
  <si>
    <t xml:space="preserve">% cobro mes</t>
  </si>
  <si>
    <t xml:space="preserve">Tipo</t>
  </si>
  <si>
    <t xml:space="preserve">Volumen</t>
  </si>
  <si>
    <t xml:space="preserve">Precio</t>
  </si>
  <si>
    <t xml:space="preserve">Ingresos</t>
  </si>
  <si>
    <t xml:space="preserve">Costo var. unit.</t>
  </si>
  <si>
    <t xml:space="preserve">Costo variable</t>
  </si>
  <si>
    <t xml:space="preserve">Gastos fijos</t>
  </si>
  <si>
    <t xml:space="preserve">Utilidad operativa</t>
  </si>
  <si>
    <t xml:space="preserve">Cobros</t>
  </si>
  <si>
    <t xml:space="preserve">Pagos</t>
  </si>
  <si>
    <t xml:space="preserve">Flujo neto</t>
  </si>
  <si>
    <t xml:space="preserve">Caja final</t>
  </si>
  <si>
    <t xml:space="preserve">Estado</t>
  </si>
  <si>
    <t xml:space="preserve">Real</t>
  </si>
  <si>
    <t xml:space="preserve">Proyectado</t>
  </si>
  <si>
    <t xml:space="preserve">Cobros: % del mes en el mismo mes + resto del mes anterior (enero incluye las cuentas por cobrar iniciales). Pagos: costos variables y fijos en el mismo mes.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</si>
</sst>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"/>
    <numFmt numFmtId="167" formatCode="0%"/>
    <numFmt numFmtId="168" formatCode="0.0%"/>
    <numFmt numFmtId="169" formatCode="#,##0"/>
    <numFmt numFmtId="170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Caja final mensual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Flujo_Base!$M$5:$M$16</c:f>
              <c:numCache>
                <c:formatCode>\$#,##0;"($"#,##0\);\-</c:formatCode>
                <c:ptCount val="12"/>
                <c:pt idx="0">
                  <c:v>65786</c:v>
                </c:pt>
                <c:pt idx="1">
                  <c:v>73233</c:v>
                </c:pt>
                <c:pt idx="2">
                  <c:v>77659</c:v>
                </c:pt>
                <c:pt idx="3">
                  <c:v>78691</c:v>
                </c:pt>
                <c:pt idx="4">
                  <c:v>82690</c:v>
                </c:pt>
                <c:pt idx="5">
                  <c:v>83776</c:v>
                </c:pt>
                <c:pt idx="6">
                  <c:v>87229.26</c:v>
                </c:pt>
                <c:pt idx="7">
                  <c:v>90335.7414888889</c:v>
                </c:pt>
                <c:pt idx="8">
                  <c:v>93942.621126</c:v>
                </c:pt>
                <c:pt idx="9">
                  <c:v>98054.9028928156</c:v>
                </c:pt>
                <c:pt idx="10">
                  <c:v>102677.640810633</c:v>
                </c:pt>
                <c:pt idx="11">
                  <c:v>107815.939440961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"Optimista"</c:f>
              <c:strCache>
                <c:ptCount val="1"/>
                <c:pt idx="0">
                  <c:v>Optimista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Flujo_Optimista!$M$5:$M$16</c:f>
              <c:numCache>
                <c:formatCode>\$#,##0;"($"#,##0\);\-</c:formatCode>
                <c:ptCount val="12"/>
                <c:pt idx="0">
                  <c:v>65786</c:v>
                </c:pt>
                <c:pt idx="1">
                  <c:v>73233</c:v>
                </c:pt>
                <c:pt idx="2">
                  <c:v>77659</c:v>
                </c:pt>
                <c:pt idx="3">
                  <c:v>78691</c:v>
                </c:pt>
                <c:pt idx="4">
                  <c:v>82690</c:v>
                </c:pt>
                <c:pt idx="5">
                  <c:v>83776</c:v>
                </c:pt>
                <c:pt idx="6">
                  <c:v>98871.3562222222</c:v>
                </c:pt>
                <c:pt idx="7">
                  <c:v>106632.08735</c:v>
                </c:pt>
                <c:pt idx="8">
                  <c:v>115760.170089306</c:v>
                </c:pt>
                <c:pt idx="9">
                  <c:v>126289.788230427</c:v>
                </c:pt>
                <c:pt idx="10">
                  <c:v>138255.98015841</c:v>
                </c:pt>
                <c:pt idx="11">
                  <c:v>151694.660217926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"Pesimista"</c:f>
              <c:strCache>
                <c:ptCount val="1"/>
                <c:pt idx="0">
                  <c:v>Pesimista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Flujo_Pesimista!$M$5:$M$16</c:f>
              <c:numCache>
                <c:formatCode>\$#,##0;"($"#,##0\);\-</c:formatCode>
                <c:ptCount val="12"/>
                <c:pt idx="0">
                  <c:v>65786</c:v>
                </c:pt>
                <c:pt idx="1">
                  <c:v>73233</c:v>
                </c:pt>
                <c:pt idx="2">
                  <c:v>77659</c:v>
                </c:pt>
                <c:pt idx="3">
                  <c:v>78691</c:v>
                </c:pt>
                <c:pt idx="4">
                  <c:v>82690</c:v>
                </c:pt>
                <c:pt idx="5">
                  <c:v>83776</c:v>
                </c:pt>
                <c:pt idx="6">
                  <c:v>71941.6910666667</c:v>
                </c:pt>
                <c:pt idx="7">
                  <c:v>70757.6634893334</c:v>
                </c:pt>
                <c:pt idx="8">
                  <c:v>69116.14285444</c:v>
                </c:pt>
                <c:pt idx="9">
                  <c:v>67021.7040925623</c:v>
                </c:pt>
                <c:pt idx="10">
                  <c:v>64478.87638497</c:v>
                </c:pt>
                <c:pt idx="11">
                  <c:v>61492.1436211203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513750"/>
        <c:axId val="54238396"/>
      </c:lineChart>
      <c:catAx>
        <c:axId val="64513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38396"/>
        <c:crosses val="autoZero"/>
        <c:auto val="1"/>
        <c:lblAlgn val="ctr"/>
        <c:lblOffset val="100"/>
        <c:noMultiLvlLbl val="0"/>
      </c:catAx>
      <c:valAx>
        <c:axId val="54238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13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766008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</row>
    <row r="4" customFormat="false" ht="15" hidden="false" customHeight="false" outlineLevel="0" collapsed="false">
      <c r="A4" s="2" t="s">
        <v>16</v>
      </c>
      <c r="B4" s="4" t="n">
        <f aca="false">SUMPRODUCT(Datos!B2:B13,Datos!C2:C13)</f>
        <v>1080000</v>
      </c>
      <c r="C4" s="4" t="n">
        <f aca="false">Flujo_Base!E17</f>
        <v>1054166.64383233</v>
      </c>
      <c r="D4" s="4" t="n">
        <f aca="false">Flujo_Optimista!E17</f>
        <v>1099776.33507744</v>
      </c>
      <c r="E4" s="4" t="n">
        <f aca="false">Flujo_Pesimista!E17</f>
        <v>1008073.48159947</v>
      </c>
    </row>
    <row r="5" customFormat="false" ht="15" hidden="false" customHeight="false" outlineLevel="0" collapsed="false">
      <c r="A5" s="2" t="s">
        <v>17</v>
      </c>
      <c r="B5" s="4" t="n">
        <f aca="false">B4-SUMPRODUCT(Datos!B2:B13,Datos!D2:D13)-SUM(Datos!E2:G13)</f>
        <v>108000</v>
      </c>
      <c r="C5" s="4" t="n">
        <f aca="false">Flujo_Base!I17</f>
        <v>48334.11976857</v>
      </c>
      <c r="D5" s="4" t="n">
        <f aca="false">Flujo_Optimista!I17</f>
        <v>86513.9457591428</v>
      </c>
      <c r="E5" s="4" t="n">
        <f aca="false">Flujo_Pesimista!I17</f>
        <v>9135.76983445658</v>
      </c>
    </row>
    <row r="6" customFormat="false" ht="15" hidden="false" customHeight="false" outlineLevel="0" collapsed="false">
      <c r="A6" s="2" t="s">
        <v>18</v>
      </c>
      <c r="B6" s="4"/>
      <c r="C6" s="4" t="n">
        <f aca="false">C5-$B$5</f>
        <v>-59665.88023143</v>
      </c>
      <c r="D6" s="4" t="n">
        <f aca="false">D5-$B$5</f>
        <v>-21486.0542408572</v>
      </c>
      <c r="E6" s="4" t="n">
        <f aca="false">E5-$B$5</f>
        <v>-98864.2301655434</v>
      </c>
    </row>
    <row r="7" customFormat="false" ht="15" hidden="false" customHeight="false" outlineLevel="0" collapsed="false">
      <c r="A7" s="2" t="s">
        <v>19</v>
      </c>
      <c r="B7" s="4"/>
      <c r="C7" s="5" t="n">
        <f aca="false">Flujo_Base!M16</f>
        <v>107815.939440961</v>
      </c>
      <c r="D7" s="5" t="n">
        <f aca="false">Flujo_Optimista!M16</f>
        <v>151694.660217926</v>
      </c>
      <c r="E7" s="5" t="n">
        <f aca="false">Flujo_Pesimista!M16</f>
        <v>61492.1436211203</v>
      </c>
    </row>
    <row r="8" customFormat="false" ht="15" hidden="false" customHeight="false" outlineLevel="0" collapsed="false">
      <c r="A8" s="2" t="s">
        <v>20</v>
      </c>
      <c r="B8" s="4"/>
      <c r="C8" s="4" t="n">
        <f aca="false">MIN(Flujo_Base!M5:M16)</f>
        <v>65786</v>
      </c>
      <c r="D8" s="4" t="n">
        <f aca="false">MIN(Flujo_Optimista!M5:M16)</f>
        <v>65786</v>
      </c>
      <c r="E8" s="4" t="n">
        <f aca="false">MIN(Flujo_Pesimista!M5:M16)</f>
        <v>61492.1436211203</v>
      </c>
    </row>
    <row r="9" customFormat="false" ht="15" hidden="false" customHeight="false" outlineLevel="0" collapsed="false">
      <c r="A9" s="2" t="s">
        <v>21</v>
      </c>
      <c r="B9" s="6"/>
      <c r="C9" s="6" t="n">
        <f aca="false">COUNTIF(Flujo_Base!N5:N16,"ALERTA")</f>
        <v>0</v>
      </c>
      <c r="D9" s="6" t="n">
        <f aca="false">COUNTIF(Flujo_Optimista!N5:N16,"ALERTA")</f>
        <v>0</v>
      </c>
      <c r="E9" s="6" t="n">
        <f aca="false">COUNTIF(Flujo_Pesimista!N5:N16,"ALERTA")</f>
        <v>2</v>
      </c>
    </row>
    <row r="11" customFormat="false" ht="15" hidden="false" customHeight="false" outlineLevel="0" collapsed="false">
      <c r="A11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</row>
    <row r="2" customFormat="false" ht="15" hidden="false" customHeight="false" outlineLevel="0" collapsed="false">
      <c r="A2" s="2" t="s">
        <v>26</v>
      </c>
      <c r="B2" s="8" t="n">
        <v>60000</v>
      </c>
      <c r="C2" s="2" t="s">
        <v>27</v>
      </c>
    </row>
    <row r="3" customFormat="false" ht="15" hidden="false" customHeight="false" outlineLevel="0" collapsed="false">
      <c r="A3" s="2" t="s">
        <v>28</v>
      </c>
      <c r="B3" s="8" t="n">
        <v>36000</v>
      </c>
      <c r="C3" s="2" t="s">
        <v>29</v>
      </c>
    </row>
    <row r="4" customFormat="false" ht="15" hidden="false" customHeight="false" outlineLevel="0" collapsed="false">
      <c r="A4" s="2" t="s">
        <v>30</v>
      </c>
      <c r="B4" s="8" t="n">
        <v>65000</v>
      </c>
      <c r="C4" s="2" t="s">
        <v>31</v>
      </c>
    </row>
    <row r="5" customFormat="false" ht="15" hidden="false" customHeight="false" outlineLevel="0" collapsed="false">
      <c r="A5" s="2" t="s">
        <v>32</v>
      </c>
      <c r="B5" s="9" t="n">
        <v>0.6</v>
      </c>
      <c r="C5" s="2" t="s">
        <v>33</v>
      </c>
    </row>
    <row r="8" customFormat="false" ht="15" hidden="false" customHeight="false" outlineLevel="0" collapsed="false">
      <c r="A8" s="10" t="s">
        <v>34</v>
      </c>
      <c r="B8" s="11" t="s">
        <v>13</v>
      </c>
      <c r="C8" s="11" t="s">
        <v>14</v>
      </c>
      <c r="D8" s="11" t="s">
        <v>15</v>
      </c>
    </row>
    <row r="9" customFormat="false" ht="15" hidden="false" customHeight="false" outlineLevel="0" collapsed="false">
      <c r="A9" s="2" t="s">
        <v>35</v>
      </c>
      <c r="B9" s="12" t="n">
        <v>0.01</v>
      </c>
      <c r="C9" s="12" t="n">
        <v>0.025</v>
      </c>
      <c r="D9" s="12" t="n">
        <v>-0.01</v>
      </c>
    </row>
    <row r="10" customFormat="false" ht="15" hidden="false" customHeight="false" outlineLevel="0" collapsed="false">
      <c r="A10" s="2" t="s">
        <v>36</v>
      </c>
      <c r="B10" s="12" t="n">
        <v>0</v>
      </c>
      <c r="C10" s="12" t="n">
        <v>0.03</v>
      </c>
      <c r="D10" s="12" t="n">
        <v>-0.02</v>
      </c>
    </row>
    <row r="11" customFormat="false" ht="15" hidden="false" customHeight="false" outlineLevel="0" collapsed="false">
      <c r="A11" s="2" t="s">
        <v>37</v>
      </c>
      <c r="B11" s="12" t="n">
        <v>0</v>
      </c>
      <c r="C11" s="12" t="n">
        <v>-0.02</v>
      </c>
      <c r="D11" s="12" t="n">
        <v>0.04</v>
      </c>
    </row>
    <row r="12" customFormat="false" ht="15" hidden="false" customHeight="false" outlineLevel="0" collapsed="false">
      <c r="A12" s="2" t="s">
        <v>38</v>
      </c>
      <c r="B12" s="12" t="n">
        <v>0.6</v>
      </c>
      <c r="C12" s="12" t="n">
        <v>0.7</v>
      </c>
      <c r="D12" s="12" t="n">
        <v>0.45</v>
      </c>
    </row>
    <row r="14" customFormat="false" ht="15" hidden="false" customHeight="false" outlineLevel="0" collapsed="false">
      <c r="A14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31.5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</row>
    <row r="2" customFormat="false" ht="15" hidden="false" customHeight="false" outlineLevel="0" collapsed="false">
      <c r="A2" s="2" t="s">
        <v>53</v>
      </c>
      <c r="B2" s="13" t="n">
        <v>900</v>
      </c>
      <c r="C2" s="14" t="n">
        <v>100</v>
      </c>
      <c r="D2" s="14" t="n">
        <v>40</v>
      </c>
      <c r="E2" s="15" t="n">
        <v>30000</v>
      </c>
      <c r="F2" s="15" t="n">
        <v>8000</v>
      </c>
      <c r="G2" s="15" t="n">
        <v>7000</v>
      </c>
      <c r="H2" s="13" t="n">
        <v>870</v>
      </c>
      <c r="I2" s="14" t="n">
        <v>98</v>
      </c>
      <c r="J2" s="14" t="n">
        <v>41</v>
      </c>
      <c r="K2" s="15" t="n">
        <v>30500</v>
      </c>
      <c r="L2" s="15" t="n">
        <v>8000</v>
      </c>
      <c r="M2" s="15" t="n">
        <v>7200</v>
      </c>
    </row>
    <row r="3" customFormat="false" ht="15" hidden="false" customHeight="false" outlineLevel="0" collapsed="false">
      <c r="A3" s="2" t="s">
        <v>54</v>
      </c>
      <c r="B3" s="13" t="n">
        <v>900</v>
      </c>
      <c r="C3" s="14" t="n">
        <v>100</v>
      </c>
      <c r="D3" s="14" t="n">
        <v>40</v>
      </c>
      <c r="E3" s="15" t="n">
        <v>30000</v>
      </c>
      <c r="F3" s="15" t="n">
        <v>8000</v>
      </c>
      <c r="G3" s="15" t="n">
        <v>7000</v>
      </c>
      <c r="H3" s="13" t="n">
        <v>905</v>
      </c>
      <c r="I3" s="14" t="n">
        <v>101</v>
      </c>
      <c r="J3" s="14" t="n">
        <v>40</v>
      </c>
      <c r="K3" s="15" t="n">
        <v>30500</v>
      </c>
      <c r="L3" s="15" t="n">
        <v>8000</v>
      </c>
      <c r="M3" s="15" t="n">
        <v>6800</v>
      </c>
    </row>
    <row r="4" customFormat="false" ht="15" hidden="false" customHeight="false" outlineLevel="0" collapsed="false">
      <c r="A4" s="2" t="s">
        <v>55</v>
      </c>
      <c r="B4" s="13" t="n">
        <v>900</v>
      </c>
      <c r="C4" s="14" t="n">
        <v>100</v>
      </c>
      <c r="D4" s="14" t="n">
        <v>40</v>
      </c>
      <c r="E4" s="15" t="n">
        <v>30000</v>
      </c>
      <c r="F4" s="15" t="n">
        <v>8000</v>
      </c>
      <c r="G4" s="15" t="n">
        <v>7000</v>
      </c>
      <c r="H4" s="13" t="n">
        <v>860</v>
      </c>
      <c r="I4" s="14" t="n">
        <v>99</v>
      </c>
      <c r="J4" s="14" t="n">
        <v>42</v>
      </c>
      <c r="K4" s="15" t="n">
        <v>31000</v>
      </c>
      <c r="L4" s="15" t="n">
        <v>8000</v>
      </c>
      <c r="M4" s="15" t="n">
        <v>8100</v>
      </c>
    </row>
    <row r="5" customFormat="false" ht="15" hidden="false" customHeight="false" outlineLevel="0" collapsed="false">
      <c r="A5" s="2" t="s">
        <v>56</v>
      </c>
      <c r="B5" s="13" t="n">
        <v>900</v>
      </c>
      <c r="C5" s="14" t="n">
        <v>100</v>
      </c>
      <c r="D5" s="14" t="n">
        <v>40</v>
      </c>
      <c r="E5" s="15" t="n">
        <v>30000</v>
      </c>
      <c r="F5" s="15" t="n">
        <v>8000</v>
      </c>
      <c r="G5" s="15" t="n">
        <v>7000</v>
      </c>
      <c r="H5" s="13" t="n">
        <v>880</v>
      </c>
      <c r="I5" s="14" t="n">
        <v>97</v>
      </c>
      <c r="J5" s="14" t="n">
        <v>43</v>
      </c>
      <c r="K5" s="15" t="n">
        <v>31000</v>
      </c>
      <c r="L5" s="15" t="n">
        <v>8000</v>
      </c>
      <c r="M5" s="15" t="n">
        <v>7400</v>
      </c>
    </row>
    <row r="6" customFormat="false" ht="15" hidden="false" customHeight="false" outlineLevel="0" collapsed="false">
      <c r="A6" s="2" t="s">
        <v>57</v>
      </c>
      <c r="B6" s="13" t="n">
        <v>900</v>
      </c>
      <c r="C6" s="14" t="n">
        <v>100</v>
      </c>
      <c r="D6" s="14" t="n">
        <v>40</v>
      </c>
      <c r="E6" s="15" t="n">
        <v>30000</v>
      </c>
      <c r="F6" s="15" t="n">
        <v>8000</v>
      </c>
      <c r="G6" s="15" t="n">
        <v>7000</v>
      </c>
      <c r="H6" s="13" t="n">
        <v>845</v>
      </c>
      <c r="I6" s="14" t="n">
        <v>100</v>
      </c>
      <c r="J6" s="14" t="n">
        <v>41</v>
      </c>
      <c r="K6" s="15" t="n">
        <v>31200</v>
      </c>
      <c r="L6" s="15" t="n">
        <v>8000</v>
      </c>
      <c r="M6" s="15" t="n">
        <v>7000</v>
      </c>
    </row>
    <row r="7" customFormat="false" ht="15" hidden="false" customHeight="false" outlineLevel="0" collapsed="false">
      <c r="A7" s="2" t="s">
        <v>58</v>
      </c>
      <c r="B7" s="13" t="n">
        <v>900</v>
      </c>
      <c r="C7" s="14" t="n">
        <v>100</v>
      </c>
      <c r="D7" s="14" t="n">
        <v>40</v>
      </c>
      <c r="E7" s="15" t="n">
        <v>30000</v>
      </c>
      <c r="F7" s="15" t="n">
        <v>8000</v>
      </c>
      <c r="G7" s="15" t="n">
        <v>7000</v>
      </c>
      <c r="H7" s="13" t="n">
        <v>890</v>
      </c>
      <c r="I7" s="14" t="n">
        <v>99</v>
      </c>
      <c r="J7" s="14" t="n">
        <v>42</v>
      </c>
      <c r="K7" s="15" t="n">
        <v>31200</v>
      </c>
      <c r="L7" s="15" t="n">
        <v>8000</v>
      </c>
      <c r="M7" s="15" t="n">
        <v>9000</v>
      </c>
    </row>
    <row r="8" customFormat="false" ht="15" hidden="false" customHeight="false" outlineLevel="0" collapsed="false">
      <c r="A8" s="2" t="s">
        <v>59</v>
      </c>
      <c r="B8" s="13" t="n">
        <v>900</v>
      </c>
      <c r="C8" s="14" t="n">
        <v>100</v>
      </c>
      <c r="D8" s="14" t="n">
        <v>40</v>
      </c>
      <c r="E8" s="15" t="n">
        <v>30000</v>
      </c>
      <c r="F8" s="15" t="n">
        <v>8000</v>
      </c>
      <c r="G8" s="15" t="n">
        <v>7000</v>
      </c>
    </row>
    <row r="9" customFormat="false" ht="15" hidden="false" customHeight="false" outlineLevel="0" collapsed="false">
      <c r="A9" s="2" t="s">
        <v>60</v>
      </c>
      <c r="B9" s="13" t="n">
        <v>900</v>
      </c>
      <c r="C9" s="14" t="n">
        <v>100</v>
      </c>
      <c r="D9" s="14" t="n">
        <v>40</v>
      </c>
      <c r="E9" s="15" t="n">
        <v>30000</v>
      </c>
      <c r="F9" s="15" t="n">
        <v>8000</v>
      </c>
      <c r="G9" s="15" t="n">
        <v>7000</v>
      </c>
    </row>
    <row r="10" customFormat="false" ht="15" hidden="false" customHeight="false" outlineLevel="0" collapsed="false">
      <c r="A10" s="2" t="s">
        <v>61</v>
      </c>
      <c r="B10" s="13" t="n">
        <v>900</v>
      </c>
      <c r="C10" s="14" t="n">
        <v>100</v>
      </c>
      <c r="D10" s="14" t="n">
        <v>40</v>
      </c>
      <c r="E10" s="15" t="n">
        <v>30000</v>
      </c>
      <c r="F10" s="15" t="n">
        <v>8000</v>
      </c>
      <c r="G10" s="15" t="n">
        <v>7000</v>
      </c>
    </row>
    <row r="11" customFormat="false" ht="15" hidden="false" customHeight="false" outlineLevel="0" collapsed="false">
      <c r="A11" s="2" t="s">
        <v>62</v>
      </c>
      <c r="B11" s="13" t="n">
        <v>900</v>
      </c>
      <c r="C11" s="14" t="n">
        <v>100</v>
      </c>
      <c r="D11" s="14" t="n">
        <v>40</v>
      </c>
      <c r="E11" s="15" t="n">
        <v>30000</v>
      </c>
      <c r="F11" s="15" t="n">
        <v>8000</v>
      </c>
      <c r="G11" s="15" t="n">
        <v>7000</v>
      </c>
    </row>
    <row r="12" customFormat="false" ht="15" hidden="false" customHeight="false" outlineLevel="0" collapsed="false">
      <c r="A12" s="2" t="s">
        <v>63</v>
      </c>
      <c r="B12" s="13" t="n">
        <v>900</v>
      </c>
      <c r="C12" s="14" t="n">
        <v>100</v>
      </c>
      <c r="D12" s="14" t="n">
        <v>40</v>
      </c>
      <c r="E12" s="15" t="n">
        <v>30000</v>
      </c>
      <c r="F12" s="15" t="n">
        <v>8000</v>
      </c>
      <c r="G12" s="15" t="n">
        <v>7000</v>
      </c>
    </row>
    <row r="13" customFormat="false" ht="15" hidden="false" customHeight="false" outlineLevel="0" collapsed="false">
      <c r="A13" s="2" t="s">
        <v>64</v>
      </c>
      <c r="B13" s="13" t="n">
        <v>900</v>
      </c>
      <c r="C13" s="14" t="n">
        <v>100</v>
      </c>
      <c r="D13" s="14" t="n">
        <v>40</v>
      </c>
      <c r="E13" s="15" t="n">
        <v>30000</v>
      </c>
      <c r="F13" s="15" t="n">
        <v>8000</v>
      </c>
      <c r="G13" s="15" t="n">
        <v>7000</v>
      </c>
    </row>
    <row r="15" customFormat="false" ht="15" hidden="false" customHeight="false" outlineLevel="0" collapsed="false">
      <c r="A15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5" min="2" style="0" width="15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7" t="s">
        <v>67</v>
      </c>
    </row>
    <row r="4" customFormat="false" ht="31.5" hidden="false" customHeight="true" outlineLevel="0" collapsed="false">
      <c r="A4" s="3" t="s">
        <v>40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  <c r="L4" s="3" t="s">
        <v>78</v>
      </c>
      <c r="M4" s="3" t="s">
        <v>79</v>
      </c>
      <c r="N4" s="3" t="s">
        <v>80</v>
      </c>
      <c r="O4" s="3" t="s">
        <v>81</v>
      </c>
    </row>
    <row r="5" customFormat="false" ht="15" hidden="false" customHeight="false" outlineLevel="0" collapsed="false">
      <c r="A5" s="4" t="str">
        <f aca="false">Datos!A2</f>
        <v>Ene</v>
      </c>
      <c r="B5" s="4" t="n">
        <f aca="false">Datos!B2*Datos!C2</f>
        <v>90000</v>
      </c>
      <c r="C5" s="4" t="n">
        <f aca="false">Datos!H2*Datos!I2</f>
        <v>85260</v>
      </c>
      <c r="D5" s="4" t="n">
        <f aca="false">C5-B5</f>
        <v>-4740</v>
      </c>
      <c r="E5" s="4" t="n">
        <f aca="false">(Datos!H2-Datos!B2)*Datos!C2</f>
        <v>-3000</v>
      </c>
      <c r="F5" s="4" t="n">
        <f aca="false">(Datos!I2-Datos!C2)*Datos!H2</f>
        <v>-1740</v>
      </c>
      <c r="G5" s="4" t="n">
        <f aca="false">Datos!B2*Datos!D2</f>
        <v>36000</v>
      </c>
      <c r="H5" s="4" t="n">
        <f aca="false">Datos!H2*Datos!J2</f>
        <v>35670</v>
      </c>
      <c r="I5" s="4" t="n">
        <f aca="false">Datos!E2+Datos!F2+Datos!G2</f>
        <v>45000</v>
      </c>
      <c r="J5" s="4" t="n">
        <f aca="false">Datos!K2+Datos!L2+Datos!M2</f>
        <v>45700</v>
      </c>
      <c r="K5" s="4" t="n">
        <f aca="false">B5-G5-I5</f>
        <v>9000</v>
      </c>
      <c r="L5" s="4" t="n">
        <f aca="false">C5-H5-J5</f>
        <v>3890</v>
      </c>
      <c r="M5" s="4" t="n">
        <f aca="false">L5-K5</f>
        <v>-5110</v>
      </c>
      <c r="N5" s="16" t="n">
        <f aca="false">IF(K5=0,0,M5/K5)</f>
        <v>-0.567777777777778</v>
      </c>
      <c r="O5" s="4" t="str">
        <f aca="false">IF(ABS(D5-E5-F5)&lt;0.01,"OK","REVISAR")</f>
        <v>OK</v>
      </c>
    </row>
    <row r="6" customFormat="false" ht="15" hidden="false" customHeight="false" outlineLevel="0" collapsed="false">
      <c r="A6" s="4" t="str">
        <f aca="false">Datos!A3</f>
        <v>Feb</v>
      </c>
      <c r="B6" s="4" t="n">
        <f aca="false">Datos!B3*Datos!C3</f>
        <v>90000</v>
      </c>
      <c r="C6" s="4" t="n">
        <f aca="false">Datos!H3*Datos!I3</f>
        <v>91405</v>
      </c>
      <c r="D6" s="4" t="n">
        <f aca="false">C6-B6</f>
        <v>1405</v>
      </c>
      <c r="E6" s="4" t="n">
        <f aca="false">(Datos!H3-Datos!B3)*Datos!C3</f>
        <v>500</v>
      </c>
      <c r="F6" s="4" t="n">
        <f aca="false">(Datos!I3-Datos!C3)*Datos!H3</f>
        <v>905</v>
      </c>
      <c r="G6" s="4" t="n">
        <f aca="false">Datos!B3*Datos!D3</f>
        <v>36000</v>
      </c>
      <c r="H6" s="4" t="n">
        <f aca="false">Datos!H3*Datos!J3</f>
        <v>36200</v>
      </c>
      <c r="I6" s="4" t="n">
        <f aca="false">Datos!E3+Datos!F3+Datos!G3</f>
        <v>45000</v>
      </c>
      <c r="J6" s="4" t="n">
        <f aca="false">Datos!K3+Datos!L3+Datos!M3</f>
        <v>45300</v>
      </c>
      <c r="K6" s="4" t="n">
        <f aca="false">B6-G6-I6</f>
        <v>9000</v>
      </c>
      <c r="L6" s="4" t="n">
        <f aca="false">C6-H6-J6</f>
        <v>9905</v>
      </c>
      <c r="M6" s="4" t="n">
        <f aca="false">L6-K6</f>
        <v>905</v>
      </c>
      <c r="N6" s="16" t="n">
        <f aca="false">IF(K6=0,0,M6/K6)</f>
        <v>0.100555555555556</v>
      </c>
      <c r="O6" s="4" t="str">
        <f aca="false">IF(ABS(D6-E6-F6)&lt;0.01,"OK","REVISAR")</f>
        <v>OK</v>
      </c>
    </row>
    <row r="7" customFormat="false" ht="15" hidden="false" customHeight="false" outlineLevel="0" collapsed="false">
      <c r="A7" s="4" t="str">
        <f aca="false">Datos!A4</f>
        <v>Mar</v>
      </c>
      <c r="B7" s="4" t="n">
        <f aca="false">Datos!B4*Datos!C4</f>
        <v>90000</v>
      </c>
      <c r="C7" s="4" t="n">
        <f aca="false">Datos!H4*Datos!I4</f>
        <v>85140</v>
      </c>
      <c r="D7" s="4" t="n">
        <f aca="false">C7-B7</f>
        <v>-4860</v>
      </c>
      <c r="E7" s="4" t="n">
        <f aca="false">(Datos!H4-Datos!B4)*Datos!C4</f>
        <v>-4000</v>
      </c>
      <c r="F7" s="4" t="n">
        <f aca="false">(Datos!I4-Datos!C4)*Datos!H4</f>
        <v>-860</v>
      </c>
      <c r="G7" s="4" t="n">
        <f aca="false">Datos!B4*Datos!D4</f>
        <v>36000</v>
      </c>
      <c r="H7" s="4" t="n">
        <f aca="false">Datos!H4*Datos!J4</f>
        <v>36120</v>
      </c>
      <c r="I7" s="4" t="n">
        <f aca="false">Datos!E4+Datos!F4+Datos!G4</f>
        <v>45000</v>
      </c>
      <c r="J7" s="4" t="n">
        <f aca="false">Datos!K4+Datos!L4+Datos!M4</f>
        <v>47100</v>
      </c>
      <c r="K7" s="4" t="n">
        <f aca="false">B7-G7-I7</f>
        <v>9000</v>
      </c>
      <c r="L7" s="4" t="n">
        <f aca="false">C7-H7-J7</f>
        <v>1920</v>
      </c>
      <c r="M7" s="4" t="n">
        <f aca="false">L7-K7</f>
        <v>-7080</v>
      </c>
      <c r="N7" s="16" t="n">
        <f aca="false">IF(K7=0,0,M7/K7)</f>
        <v>-0.786666666666667</v>
      </c>
      <c r="O7" s="4" t="str">
        <f aca="false">IF(ABS(D7-E7-F7)&lt;0.01,"OK","REVISAR")</f>
        <v>OK</v>
      </c>
    </row>
    <row r="8" customFormat="false" ht="15" hidden="false" customHeight="false" outlineLevel="0" collapsed="false">
      <c r="A8" s="4" t="str">
        <f aca="false">Datos!A5</f>
        <v>Abr</v>
      </c>
      <c r="B8" s="4" t="n">
        <f aca="false">Datos!B5*Datos!C5</f>
        <v>90000</v>
      </c>
      <c r="C8" s="4" t="n">
        <f aca="false">Datos!H5*Datos!I5</f>
        <v>85360</v>
      </c>
      <c r="D8" s="4" t="n">
        <f aca="false">C8-B8</f>
        <v>-4640</v>
      </c>
      <c r="E8" s="4" t="n">
        <f aca="false">(Datos!H5-Datos!B5)*Datos!C5</f>
        <v>-2000</v>
      </c>
      <c r="F8" s="4" t="n">
        <f aca="false">(Datos!I5-Datos!C5)*Datos!H5</f>
        <v>-2640</v>
      </c>
      <c r="G8" s="4" t="n">
        <f aca="false">Datos!B5*Datos!D5</f>
        <v>36000</v>
      </c>
      <c r="H8" s="4" t="n">
        <f aca="false">Datos!H5*Datos!J5</f>
        <v>37840</v>
      </c>
      <c r="I8" s="4" t="n">
        <f aca="false">Datos!E5+Datos!F5+Datos!G5</f>
        <v>45000</v>
      </c>
      <c r="J8" s="4" t="n">
        <f aca="false">Datos!K5+Datos!L5+Datos!M5</f>
        <v>46400</v>
      </c>
      <c r="K8" s="4" t="n">
        <f aca="false">B8-G8-I8</f>
        <v>9000</v>
      </c>
      <c r="L8" s="4" t="n">
        <f aca="false">C8-H8-J8</f>
        <v>1120</v>
      </c>
      <c r="M8" s="4" t="n">
        <f aca="false">L8-K8</f>
        <v>-7880</v>
      </c>
      <c r="N8" s="16" t="n">
        <f aca="false">IF(K8=0,0,M8/K8)</f>
        <v>-0.875555555555556</v>
      </c>
      <c r="O8" s="4" t="str">
        <f aca="false">IF(ABS(D8-E8-F8)&lt;0.01,"OK","REVISAR")</f>
        <v>OK</v>
      </c>
    </row>
    <row r="9" customFormat="false" ht="15" hidden="false" customHeight="false" outlineLevel="0" collapsed="false">
      <c r="A9" s="4" t="str">
        <f aca="false">Datos!A6</f>
        <v>May</v>
      </c>
      <c r="B9" s="4" t="n">
        <f aca="false">Datos!B6*Datos!C6</f>
        <v>90000</v>
      </c>
      <c r="C9" s="4" t="n">
        <f aca="false">Datos!H6*Datos!I6</f>
        <v>84500</v>
      </c>
      <c r="D9" s="4" t="n">
        <f aca="false">C9-B9</f>
        <v>-5500</v>
      </c>
      <c r="E9" s="4" t="n">
        <f aca="false">(Datos!H6-Datos!B6)*Datos!C6</f>
        <v>-5500</v>
      </c>
      <c r="F9" s="4" t="n">
        <f aca="false">(Datos!I6-Datos!C6)*Datos!H6</f>
        <v>0</v>
      </c>
      <c r="G9" s="4" t="n">
        <f aca="false">Datos!B6*Datos!D6</f>
        <v>36000</v>
      </c>
      <c r="H9" s="4" t="n">
        <f aca="false">Datos!H6*Datos!J6</f>
        <v>34645</v>
      </c>
      <c r="I9" s="4" t="n">
        <f aca="false">Datos!E6+Datos!F6+Datos!G6</f>
        <v>45000</v>
      </c>
      <c r="J9" s="4" t="n">
        <f aca="false">Datos!K6+Datos!L6+Datos!M6</f>
        <v>46200</v>
      </c>
      <c r="K9" s="4" t="n">
        <f aca="false">B9-G9-I9</f>
        <v>9000</v>
      </c>
      <c r="L9" s="4" t="n">
        <f aca="false">C9-H9-J9</f>
        <v>3655</v>
      </c>
      <c r="M9" s="4" t="n">
        <f aca="false">L9-K9</f>
        <v>-5345</v>
      </c>
      <c r="N9" s="16" t="n">
        <f aca="false">IF(K9=0,0,M9/K9)</f>
        <v>-0.593888888888889</v>
      </c>
      <c r="O9" s="4" t="str">
        <f aca="false">IF(ABS(D9-E9-F9)&lt;0.01,"OK","REVISAR")</f>
        <v>OK</v>
      </c>
    </row>
    <row r="10" customFormat="false" ht="15" hidden="false" customHeight="false" outlineLevel="0" collapsed="false">
      <c r="A10" s="4" t="str">
        <f aca="false">Datos!A7</f>
        <v>Jun</v>
      </c>
      <c r="B10" s="4" t="n">
        <f aca="false">Datos!B7*Datos!C7</f>
        <v>90000</v>
      </c>
      <c r="C10" s="4" t="n">
        <f aca="false">Datos!H7*Datos!I7</f>
        <v>88110</v>
      </c>
      <c r="D10" s="4" t="n">
        <f aca="false">C10-B10</f>
        <v>-1890</v>
      </c>
      <c r="E10" s="4" t="n">
        <f aca="false">(Datos!H7-Datos!B7)*Datos!C7</f>
        <v>-1000</v>
      </c>
      <c r="F10" s="4" t="n">
        <f aca="false">(Datos!I7-Datos!C7)*Datos!H7</f>
        <v>-890</v>
      </c>
      <c r="G10" s="4" t="n">
        <f aca="false">Datos!B7*Datos!D7</f>
        <v>36000</v>
      </c>
      <c r="H10" s="4" t="n">
        <f aca="false">Datos!H7*Datos!J7</f>
        <v>37380</v>
      </c>
      <c r="I10" s="4" t="n">
        <f aca="false">Datos!E7+Datos!F7+Datos!G7</f>
        <v>45000</v>
      </c>
      <c r="J10" s="4" t="n">
        <f aca="false">Datos!K7+Datos!L7+Datos!M7</f>
        <v>48200</v>
      </c>
      <c r="K10" s="4" t="n">
        <f aca="false">B10-G10-I10</f>
        <v>9000</v>
      </c>
      <c r="L10" s="4" t="n">
        <f aca="false">C10-H10-J10</f>
        <v>2530</v>
      </c>
      <c r="M10" s="4" t="n">
        <f aca="false">L10-K10</f>
        <v>-6470</v>
      </c>
      <c r="N10" s="16" t="n">
        <f aca="false">IF(K10=0,0,M10/K10)</f>
        <v>-0.718888888888889</v>
      </c>
      <c r="O10" s="4" t="str">
        <f aca="false">IF(ABS(D10-E10-F10)&lt;0.01,"OK","REVISAR")</f>
        <v>OK</v>
      </c>
    </row>
    <row r="11" customFormat="false" ht="15" hidden="false" customHeight="false" outlineLevel="0" collapsed="false">
      <c r="A11" s="1" t="s">
        <v>82</v>
      </c>
      <c r="B11" s="17" t="n">
        <f aca="false">SUM(B5:B10)</f>
        <v>540000</v>
      </c>
      <c r="C11" s="17" t="n">
        <f aca="false">SUM(C5:C10)</f>
        <v>519775</v>
      </c>
      <c r="D11" s="18" t="n">
        <f aca="false">SUM(D5:D10)</f>
        <v>-20225</v>
      </c>
      <c r="E11" s="17" t="n">
        <f aca="false">SUM(E5:E10)</f>
        <v>-15000</v>
      </c>
      <c r="F11" s="17" t="n">
        <f aca="false">SUM(F5:F10)</f>
        <v>-5225</v>
      </c>
      <c r="G11" s="17" t="n">
        <f aca="false">SUM(G5:G10)</f>
        <v>216000</v>
      </c>
      <c r="H11" s="17" t="n">
        <f aca="false">SUM(H5:H10)</f>
        <v>217855</v>
      </c>
      <c r="I11" s="17" t="n">
        <f aca="false">SUM(I5:I10)</f>
        <v>270000</v>
      </c>
      <c r="J11" s="17" t="n">
        <f aca="false">SUM(J5:J10)</f>
        <v>278900</v>
      </c>
      <c r="K11" s="17" t="n">
        <f aca="false">SUM(K5:K10)</f>
        <v>54000</v>
      </c>
      <c r="L11" s="17" t="n">
        <f aca="false">SUM(L5:L10)</f>
        <v>23020</v>
      </c>
      <c r="M11" s="18" t="n">
        <f aca="false">SUM(M5:M10)</f>
        <v>-30980</v>
      </c>
      <c r="N11" s="19" t="n">
        <f aca="false">IF(K11=0,0,M11/K11)</f>
        <v>-0.573703703703704</v>
      </c>
      <c r="O11" s="1" t="str">
        <f aca="false">IF(COUNTIF(O5:O10,"OK")=6,"OK","REVISAR")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5" min="2" style="0" width="14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" t="s">
        <v>84</v>
      </c>
      <c r="B2" s="20" t="n">
        <v>1</v>
      </c>
      <c r="C2" s="2" t="str">
        <f aca="false">INDEX(Supuestos!$B$8:$D$8,$B$2)</f>
        <v>Base</v>
      </c>
      <c r="D2" s="2" t="s">
        <v>85</v>
      </c>
      <c r="E2" s="21" t="n">
        <f aca="false">INDEX(Supuestos!$B$9:$D$9,$B$2)</f>
        <v>0.01</v>
      </c>
      <c r="F2" s="2" t="s">
        <v>86</v>
      </c>
      <c r="G2" s="21" t="n">
        <f aca="false">INDEX(Supuestos!$B$10:$D$10,$B$2)</f>
        <v>0</v>
      </c>
      <c r="H2" s="2" t="s">
        <v>87</v>
      </c>
      <c r="I2" s="21" t="n">
        <f aca="false">INDEX(Supuestos!$B$11:$D$11,$B$2)</f>
        <v>0</v>
      </c>
      <c r="J2" s="2" t="s">
        <v>88</v>
      </c>
      <c r="K2" s="21" t="n">
        <f aca="false">INDEX(Supuestos!$B$12:$D$12,$B$2)</f>
        <v>0.6</v>
      </c>
    </row>
    <row r="4" customFormat="false" ht="31.5" hidden="false" customHeight="true" outlineLevel="0" collapsed="false">
      <c r="A4" s="3" t="s">
        <v>40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88</v>
      </c>
    </row>
    <row r="5" customFormat="false" ht="15" hidden="false" customHeight="false" outlineLevel="0" collapsed="false">
      <c r="A5" s="4" t="str">
        <f aca="false">Datos!A2</f>
        <v>Ene</v>
      </c>
      <c r="B5" s="4" t="s">
        <v>102</v>
      </c>
      <c r="C5" s="22" t="n">
        <f aca="false">Datos!H2</f>
        <v>870</v>
      </c>
      <c r="D5" s="23" t="n">
        <f aca="false">Datos!I2</f>
        <v>98</v>
      </c>
      <c r="E5" s="4" t="n">
        <f aca="false">C5*D5</f>
        <v>85260</v>
      </c>
      <c r="F5" s="23" t="n">
        <f aca="false">Datos!J2</f>
        <v>41</v>
      </c>
      <c r="G5" s="4" t="n">
        <f aca="false">C5*F5</f>
        <v>35670</v>
      </c>
      <c r="H5" s="4" t="n">
        <f aca="false">Datos!K2+Datos!L2+Datos!M2</f>
        <v>45700</v>
      </c>
      <c r="I5" s="4" t="n">
        <f aca="false">E5-G5-H5</f>
        <v>3890</v>
      </c>
      <c r="J5" s="4" t="n">
        <f aca="false">E5*O5+Supuestos!$B$3</f>
        <v>87156</v>
      </c>
      <c r="K5" s="4" t="n">
        <f aca="false">G5+H5</f>
        <v>81370</v>
      </c>
      <c r="L5" s="4" t="n">
        <f aca="false">J5-K5</f>
        <v>5786</v>
      </c>
      <c r="M5" s="4" t="n">
        <f aca="false">Supuestos!$B$2+L5</f>
        <v>65786</v>
      </c>
      <c r="N5" s="4" t="str">
        <f aca="false">IF(M5&lt;Supuestos!$B$4,"ALERTA","OK")</f>
        <v>OK</v>
      </c>
      <c r="O5" s="24" t="n">
        <f aca="false">Supuestos!$B$5</f>
        <v>0.6</v>
      </c>
    </row>
    <row r="6" customFormat="false" ht="15" hidden="false" customHeight="false" outlineLevel="0" collapsed="false">
      <c r="A6" s="4" t="str">
        <f aca="false">Datos!A3</f>
        <v>Feb</v>
      </c>
      <c r="B6" s="4" t="s">
        <v>102</v>
      </c>
      <c r="C6" s="22" t="n">
        <f aca="false">Datos!H3</f>
        <v>905</v>
      </c>
      <c r="D6" s="23" t="n">
        <f aca="false">Datos!I3</f>
        <v>101</v>
      </c>
      <c r="E6" s="4" t="n">
        <f aca="false">C6*D6</f>
        <v>91405</v>
      </c>
      <c r="F6" s="23" t="n">
        <f aca="false">Datos!J3</f>
        <v>40</v>
      </c>
      <c r="G6" s="4" t="n">
        <f aca="false">C6*F6</f>
        <v>36200</v>
      </c>
      <c r="H6" s="4" t="n">
        <f aca="false">Datos!K3+Datos!L3+Datos!M3</f>
        <v>45300</v>
      </c>
      <c r="I6" s="4" t="n">
        <f aca="false">E6-G6-H6</f>
        <v>9905</v>
      </c>
      <c r="J6" s="4" t="n">
        <f aca="false">E6*O6+E5*(1-O5)</f>
        <v>88947</v>
      </c>
      <c r="K6" s="4" t="n">
        <f aca="false">G6+H6</f>
        <v>81500</v>
      </c>
      <c r="L6" s="4" t="n">
        <f aca="false">J6-K6</f>
        <v>7447</v>
      </c>
      <c r="M6" s="4" t="n">
        <f aca="false">M5+L6</f>
        <v>73233</v>
      </c>
      <c r="N6" s="4" t="str">
        <f aca="false">IF(M6&lt;Supuestos!$B$4,"ALERTA","OK")</f>
        <v>OK</v>
      </c>
      <c r="O6" s="24" t="n">
        <f aca="false">Supuestos!$B$5</f>
        <v>0.6</v>
      </c>
    </row>
    <row r="7" customFormat="false" ht="15" hidden="false" customHeight="false" outlineLevel="0" collapsed="false">
      <c r="A7" s="4" t="str">
        <f aca="false">Datos!A4</f>
        <v>Mar</v>
      </c>
      <c r="B7" s="4" t="s">
        <v>102</v>
      </c>
      <c r="C7" s="22" t="n">
        <f aca="false">Datos!H4</f>
        <v>860</v>
      </c>
      <c r="D7" s="23" t="n">
        <f aca="false">Datos!I4</f>
        <v>99</v>
      </c>
      <c r="E7" s="4" t="n">
        <f aca="false">C7*D7</f>
        <v>85140</v>
      </c>
      <c r="F7" s="23" t="n">
        <f aca="false">Datos!J4</f>
        <v>42</v>
      </c>
      <c r="G7" s="4" t="n">
        <f aca="false">C7*F7</f>
        <v>36120</v>
      </c>
      <c r="H7" s="4" t="n">
        <f aca="false">Datos!K4+Datos!L4+Datos!M4</f>
        <v>47100</v>
      </c>
      <c r="I7" s="4" t="n">
        <f aca="false">E7-G7-H7</f>
        <v>1920</v>
      </c>
      <c r="J7" s="4" t="n">
        <f aca="false">E7*O7+E6*(1-O6)</f>
        <v>87646</v>
      </c>
      <c r="K7" s="4" t="n">
        <f aca="false">G7+H7</f>
        <v>83220</v>
      </c>
      <c r="L7" s="4" t="n">
        <f aca="false">J7-K7</f>
        <v>4426</v>
      </c>
      <c r="M7" s="4" t="n">
        <f aca="false">M6+L7</f>
        <v>77659</v>
      </c>
      <c r="N7" s="4" t="str">
        <f aca="false">IF(M7&lt;Supuestos!$B$4,"ALERTA","OK")</f>
        <v>OK</v>
      </c>
      <c r="O7" s="24" t="n">
        <f aca="false">Supuestos!$B$5</f>
        <v>0.6</v>
      </c>
    </row>
    <row r="8" customFormat="false" ht="15" hidden="false" customHeight="false" outlineLevel="0" collapsed="false">
      <c r="A8" s="4" t="str">
        <f aca="false">Datos!A5</f>
        <v>Abr</v>
      </c>
      <c r="B8" s="4" t="s">
        <v>102</v>
      </c>
      <c r="C8" s="22" t="n">
        <f aca="false">Datos!H5</f>
        <v>880</v>
      </c>
      <c r="D8" s="23" t="n">
        <f aca="false">Datos!I5</f>
        <v>97</v>
      </c>
      <c r="E8" s="4" t="n">
        <f aca="false">C8*D8</f>
        <v>85360</v>
      </c>
      <c r="F8" s="23" t="n">
        <f aca="false">Datos!J5</f>
        <v>43</v>
      </c>
      <c r="G8" s="4" t="n">
        <f aca="false">C8*F8</f>
        <v>37840</v>
      </c>
      <c r="H8" s="4" t="n">
        <f aca="false">Datos!K5+Datos!L5+Datos!M5</f>
        <v>46400</v>
      </c>
      <c r="I8" s="4" t="n">
        <f aca="false">E8-G8-H8</f>
        <v>1120</v>
      </c>
      <c r="J8" s="4" t="n">
        <f aca="false">E8*O8+E7*(1-O7)</f>
        <v>85272</v>
      </c>
      <c r="K8" s="4" t="n">
        <f aca="false">G8+H8</f>
        <v>84240</v>
      </c>
      <c r="L8" s="4" t="n">
        <f aca="false">J8-K8</f>
        <v>1032</v>
      </c>
      <c r="M8" s="4" t="n">
        <f aca="false">M7+L8</f>
        <v>78691</v>
      </c>
      <c r="N8" s="4" t="str">
        <f aca="false">IF(M8&lt;Supuestos!$B$4,"ALERTA","OK")</f>
        <v>OK</v>
      </c>
      <c r="O8" s="24" t="n">
        <f aca="false">Supuestos!$B$5</f>
        <v>0.6</v>
      </c>
    </row>
    <row r="9" customFormat="false" ht="15" hidden="false" customHeight="false" outlineLevel="0" collapsed="false">
      <c r="A9" s="4" t="str">
        <f aca="false">Datos!A6</f>
        <v>May</v>
      </c>
      <c r="B9" s="4" t="s">
        <v>102</v>
      </c>
      <c r="C9" s="22" t="n">
        <f aca="false">Datos!H6</f>
        <v>845</v>
      </c>
      <c r="D9" s="23" t="n">
        <f aca="false">Datos!I6</f>
        <v>100</v>
      </c>
      <c r="E9" s="4" t="n">
        <f aca="false">C9*D9</f>
        <v>84500</v>
      </c>
      <c r="F9" s="23" t="n">
        <f aca="false">Datos!J6</f>
        <v>41</v>
      </c>
      <c r="G9" s="4" t="n">
        <f aca="false">C9*F9</f>
        <v>34645</v>
      </c>
      <c r="H9" s="4" t="n">
        <f aca="false">Datos!K6+Datos!L6+Datos!M6</f>
        <v>46200</v>
      </c>
      <c r="I9" s="4" t="n">
        <f aca="false">E9-G9-H9</f>
        <v>3655</v>
      </c>
      <c r="J9" s="4" t="n">
        <f aca="false">E9*O9+E8*(1-O8)</f>
        <v>84844</v>
      </c>
      <c r="K9" s="4" t="n">
        <f aca="false">G9+H9</f>
        <v>80845</v>
      </c>
      <c r="L9" s="4" t="n">
        <f aca="false">J9-K9</f>
        <v>3999</v>
      </c>
      <c r="M9" s="4" t="n">
        <f aca="false">M8+L9</f>
        <v>82690</v>
      </c>
      <c r="N9" s="4" t="str">
        <f aca="false">IF(M9&lt;Supuestos!$B$4,"ALERTA","OK")</f>
        <v>OK</v>
      </c>
      <c r="O9" s="24" t="n">
        <f aca="false">Supuestos!$B$5</f>
        <v>0.6</v>
      </c>
    </row>
    <row r="10" customFormat="false" ht="15" hidden="false" customHeight="false" outlineLevel="0" collapsed="false">
      <c r="A10" s="4" t="str">
        <f aca="false">Datos!A7</f>
        <v>Jun</v>
      </c>
      <c r="B10" s="4" t="s">
        <v>102</v>
      </c>
      <c r="C10" s="22" t="n">
        <f aca="false">Datos!H7</f>
        <v>890</v>
      </c>
      <c r="D10" s="23" t="n">
        <f aca="false">Datos!I7</f>
        <v>99</v>
      </c>
      <c r="E10" s="4" t="n">
        <f aca="false">C10*D10</f>
        <v>88110</v>
      </c>
      <c r="F10" s="23" t="n">
        <f aca="false">Datos!J7</f>
        <v>42</v>
      </c>
      <c r="G10" s="4" t="n">
        <f aca="false">C10*F10</f>
        <v>37380</v>
      </c>
      <c r="H10" s="4" t="n">
        <f aca="false">Datos!K7+Datos!L7+Datos!M7</f>
        <v>48200</v>
      </c>
      <c r="I10" s="4" t="n">
        <f aca="false">E10-G10-H10</f>
        <v>2530</v>
      </c>
      <c r="J10" s="4" t="n">
        <f aca="false">E10*O10+E9*(1-O9)</f>
        <v>86666</v>
      </c>
      <c r="K10" s="4" t="n">
        <f aca="false">G10+H10</f>
        <v>85580</v>
      </c>
      <c r="L10" s="4" t="n">
        <f aca="false">J10-K10</f>
        <v>1086</v>
      </c>
      <c r="M10" s="4" t="n">
        <f aca="false">M9+L10</f>
        <v>83776</v>
      </c>
      <c r="N10" s="4" t="str">
        <f aca="false">IF(M10&lt;Supuestos!$B$4,"ALERTA","OK")</f>
        <v>OK</v>
      </c>
      <c r="O10" s="24" t="n">
        <f aca="false">Supuestos!$B$5</f>
        <v>0.6</v>
      </c>
    </row>
    <row r="11" customFormat="false" ht="15" hidden="false" customHeight="false" outlineLevel="0" collapsed="false">
      <c r="A11" s="4" t="str">
        <f aca="false">Datos!A8</f>
        <v>Jul</v>
      </c>
      <c r="B11" s="4" t="s">
        <v>103</v>
      </c>
      <c r="C11" s="22" t="n">
        <f aca="false">AVERAGE($C$8:$C$10)*(1+$E$2)^1</f>
        <v>880.383333333333</v>
      </c>
      <c r="D11" s="23" t="n">
        <f aca="false">AVERAGE($D$8:$D$10)*(1+$G$2)</f>
        <v>98.6666666666667</v>
      </c>
      <c r="E11" s="4" t="n">
        <f aca="false">C11*D11</f>
        <v>86864.4888888889</v>
      </c>
      <c r="F11" s="23" t="n">
        <f aca="false">AVERAGE($F$8:$F$10)*(1+$I$2)</f>
        <v>42</v>
      </c>
      <c r="G11" s="4" t="n">
        <f aca="false">C11*F11</f>
        <v>36976.1</v>
      </c>
      <c r="H11" s="4" t="n">
        <f aca="false">AVERAGE($H$8:$H$10)</f>
        <v>46933.3333333333</v>
      </c>
      <c r="I11" s="4" t="n">
        <f aca="false">E11-G11-H11</f>
        <v>2955.05555555556</v>
      </c>
      <c r="J11" s="4" t="n">
        <f aca="false">E11*O11+E10*(1-O10)</f>
        <v>87362.6933333333</v>
      </c>
      <c r="K11" s="4" t="n">
        <f aca="false">G11+H11</f>
        <v>83909.4333333333</v>
      </c>
      <c r="L11" s="4" t="n">
        <f aca="false">J11-K11</f>
        <v>3453.25999999999</v>
      </c>
      <c r="M11" s="4" t="n">
        <f aca="false">M10+L11</f>
        <v>87229.26</v>
      </c>
      <c r="N11" s="4" t="str">
        <f aca="false">IF(M11&lt;Supuestos!$B$4,"ALERTA","OK")</f>
        <v>OK</v>
      </c>
      <c r="O11" s="24" t="n">
        <f aca="false">$K$2</f>
        <v>0.6</v>
      </c>
    </row>
    <row r="12" customFormat="false" ht="15" hidden="false" customHeight="false" outlineLevel="0" collapsed="false">
      <c r="A12" s="4" t="str">
        <f aca="false">Datos!A9</f>
        <v>Ago</v>
      </c>
      <c r="B12" s="4" t="s">
        <v>103</v>
      </c>
      <c r="C12" s="22" t="n">
        <f aca="false">AVERAGE($C$8:$C$10)*(1+$E$2)^2</f>
        <v>889.187166666667</v>
      </c>
      <c r="D12" s="23" t="n">
        <f aca="false">AVERAGE($D$8:$D$10)*(1+$G$2)</f>
        <v>98.6666666666667</v>
      </c>
      <c r="E12" s="4" t="n">
        <f aca="false">C12*D12</f>
        <v>87733.1337777778</v>
      </c>
      <c r="F12" s="23" t="n">
        <f aca="false">AVERAGE($F$8:$F$10)*(1+$I$2)</f>
        <v>42</v>
      </c>
      <c r="G12" s="4" t="n">
        <f aca="false">C12*F12</f>
        <v>37345.861</v>
      </c>
      <c r="H12" s="4" t="n">
        <f aca="false">AVERAGE($H$8:$H$10)</f>
        <v>46933.3333333333</v>
      </c>
      <c r="I12" s="4" t="n">
        <f aca="false">E12-G12-H12</f>
        <v>3453.93944444445</v>
      </c>
      <c r="J12" s="4" t="n">
        <f aca="false">E12*O12+E11*(1-O11)</f>
        <v>87385.6758222222</v>
      </c>
      <c r="K12" s="4" t="n">
        <f aca="false">G12+H12</f>
        <v>84279.1943333333</v>
      </c>
      <c r="L12" s="4" t="n">
        <f aca="false">J12-K12</f>
        <v>3106.48148888889</v>
      </c>
      <c r="M12" s="4" t="n">
        <f aca="false">M11+L12</f>
        <v>90335.7414888889</v>
      </c>
      <c r="N12" s="4" t="str">
        <f aca="false">IF(M12&lt;Supuestos!$B$4,"ALERTA","OK")</f>
        <v>OK</v>
      </c>
      <c r="O12" s="24" t="n">
        <f aca="false">$K$2</f>
        <v>0.6</v>
      </c>
    </row>
    <row r="13" customFormat="false" ht="15" hidden="false" customHeight="false" outlineLevel="0" collapsed="false">
      <c r="A13" s="4" t="str">
        <f aca="false">Datos!A10</f>
        <v>Sep</v>
      </c>
      <c r="B13" s="4" t="s">
        <v>103</v>
      </c>
      <c r="C13" s="22" t="n">
        <f aca="false">AVERAGE($C$8:$C$10)*(1+$E$2)^3</f>
        <v>898.079038333333</v>
      </c>
      <c r="D13" s="23" t="n">
        <f aca="false">AVERAGE($D$8:$D$10)*(1+$G$2)</f>
        <v>98.6666666666667</v>
      </c>
      <c r="E13" s="4" t="n">
        <f aca="false">C13*D13</f>
        <v>88610.4651155556</v>
      </c>
      <c r="F13" s="23" t="n">
        <f aca="false">AVERAGE($F$8:$F$10)*(1+$I$2)</f>
        <v>42</v>
      </c>
      <c r="G13" s="4" t="n">
        <f aca="false">C13*F13</f>
        <v>37719.31961</v>
      </c>
      <c r="H13" s="4" t="n">
        <f aca="false">AVERAGE($H$8:$H$10)</f>
        <v>46933.3333333333</v>
      </c>
      <c r="I13" s="4" t="n">
        <f aca="false">E13-G13-H13</f>
        <v>3957.81217222222</v>
      </c>
      <c r="J13" s="4" t="n">
        <f aca="false">E13*O13+E12*(1-O12)</f>
        <v>88259.5325804444</v>
      </c>
      <c r="K13" s="4" t="n">
        <f aca="false">G13+H13</f>
        <v>84652.6529433334</v>
      </c>
      <c r="L13" s="4" t="n">
        <f aca="false">J13-K13</f>
        <v>3606.8796371111</v>
      </c>
      <c r="M13" s="4" t="n">
        <f aca="false">M12+L13</f>
        <v>93942.621126</v>
      </c>
      <c r="N13" s="4" t="str">
        <f aca="false">IF(M13&lt;Supuestos!$B$4,"ALERTA","OK")</f>
        <v>OK</v>
      </c>
      <c r="O13" s="24" t="n">
        <f aca="false">$K$2</f>
        <v>0.6</v>
      </c>
    </row>
    <row r="14" customFormat="false" ht="15" hidden="false" customHeight="false" outlineLevel="0" collapsed="false">
      <c r="A14" s="4" t="str">
        <f aca="false">Datos!A11</f>
        <v>Oct</v>
      </c>
      <c r="B14" s="4" t="s">
        <v>103</v>
      </c>
      <c r="C14" s="22" t="n">
        <f aca="false">AVERAGE($C$8:$C$10)*(1+$E$2)^4</f>
        <v>907.059828716667</v>
      </c>
      <c r="D14" s="23" t="n">
        <f aca="false">AVERAGE($D$8:$D$10)*(1+$G$2)</f>
        <v>98.6666666666667</v>
      </c>
      <c r="E14" s="4" t="n">
        <f aca="false">C14*D14</f>
        <v>89496.5697667111</v>
      </c>
      <c r="F14" s="23" t="n">
        <f aca="false">AVERAGE($F$8:$F$10)*(1+$I$2)</f>
        <v>42</v>
      </c>
      <c r="G14" s="4" t="n">
        <f aca="false">C14*F14</f>
        <v>38096.5128061</v>
      </c>
      <c r="H14" s="4" t="n">
        <f aca="false">AVERAGE($H$8:$H$10)</f>
        <v>46933.3333333333</v>
      </c>
      <c r="I14" s="4" t="n">
        <f aca="false">E14-G14-H14</f>
        <v>4466.72362727777</v>
      </c>
      <c r="J14" s="4" t="n">
        <f aca="false">E14*O14+E13*(1-O13)</f>
        <v>89142.1279062489</v>
      </c>
      <c r="K14" s="4" t="n">
        <f aca="false">G14+H14</f>
        <v>85029.8461394333</v>
      </c>
      <c r="L14" s="4" t="n">
        <f aca="false">J14-K14</f>
        <v>4112.28176681556</v>
      </c>
      <c r="M14" s="4" t="n">
        <f aca="false">M13+L14</f>
        <v>98054.9028928156</v>
      </c>
      <c r="N14" s="4" t="str">
        <f aca="false">IF(M14&lt;Supuestos!$B$4,"ALERTA","OK")</f>
        <v>OK</v>
      </c>
      <c r="O14" s="24" t="n">
        <f aca="false">$K$2</f>
        <v>0.6</v>
      </c>
    </row>
    <row r="15" customFormat="false" ht="15" hidden="false" customHeight="false" outlineLevel="0" collapsed="false">
      <c r="A15" s="4" t="str">
        <f aca="false">Datos!A12</f>
        <v>Nov</v>
      </c>
      <c r="B15" s="4" t="s">
        <v>103</v>
      </c>
      <c r="C15" s="22" t="n">
        <f aca="false">AVERAGE($C$8:$C$10)*(1+$E$2)^5</f>
        <v>916.130427003834</v>
      </c>
      <c r="D15" s="23" t="n">
        <f aca="false">AVERAGE($D$8:$D$10)*(1+$G$2)</f>
        <v>98.6666666666667</v>
      </c>
      <c r="E15" s="4" t="n">
        <f aca="false">C15*D15</f>
        <v>90391.5354643782</v>
      </c>
      <c r="F15" s="23" t="n">
        <f aca="false">AVERAGE($F$8:$F$10)*(1+$I$2)</f>
        <v>42</v>
      </c>
      <c r="G15" s="4" t="n">
        <f aca="false">C15*F15</f>
        <v>38477.477934161</v>
      </c>
      <c r="H15" s="4" t="n">
        <f aca="false">AVERAGE($H$8:$H$10)</f>
        <v>46933.3333333333</v>
      </c>
      <c r="I15" s="4" t="n">
        <f aca="false">E15-G15-H15</f>
        <v>4980.72419688389</v>
      </c>
      <c r="J15" s="4" t="n">
        <f aca="false">E15*O15+E14*(1-O14)</f>
        <v>90033.5491853114</v>
      </c>
      <c r="K15" s="4" t="n">
        <f aca="false">G15+H15</f>
        <v>85410.8112674943</v>
      </c>
      <c r="L15" s="4" t="n">
        <f aca="false">J15-K15</f>
        <v>4622.73791781705</v>
      </c>
      <c r="M15" s="4" t="n">
        <f aca="false">M14+L15</f>
        <v>102677.640810633</v>
      </c>
      <c r="N15" s="4" t="str">
        <f aca="false">IF(M15&lt;Supuestos!$B$4,"ALERTA","OK")</f>
        <v>OK</v>
      </c>
      <c r="O15" s="24" t="n">
        <f aca="false">$K$2</f>
        <v>0.6</v>
      </c>
    </row>
    <row r="16" customFormat="false" ht="15" hidden="false" customHeight="false" outlineLevel="0" collapsed="false">
      <c r="A16" s="4" t="str">
        <f aca="false">Datos!A13</f>
        <v>Dic</v>
      </c>
      <c r="B16" s="4" t="s">
        <v>103</v>
      </c>
      <c r="C16" s="22" t="n">
        <f aca="false">AVERAGE($C$8:$C$10)*(1+$E$2)^6</f>
        <v>925.291731273872</v>
      </c>
      <c r="D16" s="23" t="n">
        <f aca="false">AVERAGE($D$8:$D$10)*(1+$G$2)</f>
        <v>98.6666666666667</v>
      </c>
      <c r="E16" s="4" t="n">
        <f aca="false">C16*D16</f>
        <v>91295.450819022</v>
      </c>
      <c r="F16" s="23" t="n">
        <f aca="false">AVERAGE($F$8:$F$10)*(1+$I$2)</f>
        <v>42</v>
      </c>
      <c r="G16" s="4" t="n">
        <f aca="false">C16*F16</f>
        <v>38862.2527135026</v>
      </c>
      <c r="H16" s="4" t="n">
        <f aca="false">AVERAGE($H$8:$H$10)</f>
        <v>46933.3333333333</v>
      </c>
      <c r="I16" s="4" t="n">
        <f aca="false">E16-G16-H16</f>
        <v>5499.86477218608</v>
      </c>
      <c r="J16" s="4" t="n">
        <f aca="false">E16*O16+E15*(1-O15)</f>
        <v>90933.8846771645</v>
      </c>
      <c r="K16" s="4" t="n">
        <f aca="false">G16+H16</f>
        <v>85795.586046836</v>
      </c>
      <c r="L16" s="4" t="n">
        <f aca="false">J16-K16</f>
        <v>5138.29863032856</v>
      </c>
      <c r="M16" s="4" t="n">
        <f aca="false">M15+L16</f>
        <v>107815.939440961</v>
      </c>
      <c r="N16" s="4" t="str">
        <f aca="false">IF(M16&lt;Supuestos!$B$4,"ALERTA","OK")</f>
        <v>OK</v>
      </c>
      <c r="O16" s="24" t="n">
        <f aca="false">$K$2</f>
        <v>0.6</v>
      </c>
    </row>
    <row r="17" customFormat="false" ht="15" hidden="false" customHeight="false" outlineLevel="0" collapsed="false">
      <c r="A17" s="1" t="s">
        <v>82</v>
      </c>
      <c r="E17" s="17" t="n">
        <f aca="false">SUM(E5:E16)</f>
        <v>1054166.64383233</v>
      </c>
      <c r="G17" s="17" t="n">
        <f aca="false">SUM(G5:G16)</f>
        <v>445332.524063764</v>
      </c>
      <c r="H17" s="17" t="n">
        <f aca="false">SUM(H5:H16)</f>
        <v>560500</v>
      </c>
      <c r="I17" s="17" t="n">
        <f aca="false">SUM(I5:I16)</f>
        <v>48334.11976857</v>
      </c>
      <c r="J17" s="17" t="n">
        <f aca="false">SUM(J5:J16)</f>
        <v>1053648.46350473</v>
      </c>
      <c r="K17" s="17" t="n">
        <f aca="false">SUM(K5:K16)</f>
        <v>1005832.52406376</v>
      </c>
      <c r="L17" s="17" t="n">
        <f aca="false">SUM(L5:L16)</f>
        <v>47815.9394409612</v>
      </c>
    </row>
    <row r="19" customFormat="false" ht="15" hidden="false" customHeight="false" outlineLevel="0" collapsed="false">
      <c r="A19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5" min="2" style="0" width="14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" t="s">
        <v>84</v>
      </c>
      <c r="B2" s="20" t="n">
        <v>2</v>
      </c>
      <c r="C2" s="2" t="str">
        <f aca="false">INDEX(Supuestos!$B$8:$D$8,$B$2)</f>
        <v>Optimista</v>
      </c>
      <c r="D2" s="2" t="s">
        <v>85</v>
      </c>
      <c r="E2" s="21" t="n">
        <f aca="false">INDEX(Supuestos!$B$9:$D$9,$B$2)</f>
        <v>0.025</v>
      </c>
      <c r="F2" s="2" t="s">
        <v>86</v>
      </c>
      <c r="G2" s="21" t="n">
        <f aca="false">INDEX(Supuestos!$B$10:$D$10,$B$2)</f>
        <v>0.03</v>
      </c>
      <c r="H2" s="2" t="s">
        <v>87</v>
      </c>
      <c r="I2" s="21" t="n">
        <f aca="false">INDEX(Supuestos!$B$11:$D$11,$B$2)</f>
        <v>-0.02</v>
      </c>
      <c r="J2" s="2" t="s">
        <v>88</v>
      </c>
      <c r="K2" s="21" t="n">
        <f aca="false">INDEX(Supuestos!$B$12:$D$12,$B$2)</f>
        <v>0.7</v>
      </c>
    </row>
    <row r="4" customFormat="false" ht="31.5" hidden="false" customHeight="true" outlineLevel="0" collapsed="false">
      <c r="A4" s="3" t="s">
        <v>40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88</v>
      </c>
    </row>
    <row r="5" customFormat="false" ht="15" hidden="false" customHeight="false" outlineLevel="0" collapsed="false">
      <c r="A5" s="4" t="str">
        <f aca="false">Datos!A2</f>
        <v>Ene</v>
      </c>
      <c r="B5" s="4" t="s">
        <v>102</v>
      </c>
      <c r="C5" s="22" t="n">
        <f aca="false">Datos!H2</f>
        <v>870</v>
      </c>
      <c r="D5" s="23" t="n">
        <f aca="false">Datos!I2</f>
        <v>98</v>
      </c>
      <c r="E5" s="4" t="n">
        <f aca="false">C5*D5</f>
        <v>85260</v>
      </c>
      <c r="F5" s="23" t="n">
        <f aca="false">Datos!J2</f>
        <v>41</v>
      </c>
      <c r="G5" s="4" t="n">
        <f aca="false">C5*F5</f>
        <v>35670</v>
      </c>
      <c r="H5" s="4" t="n">
        <f aca="false">Datos!K2+Datos!L2+Datos!M2</f>
        <v>45700</v>
      </c>
      <c r="I5" s="4" t="n">
        <f aca="false">E5-G5-H5</f>
        <v>3890</v>
      </c>
      <c r="J5" s="4" t="n">
        <f aca="false">E5*O5+Supuestos!$B$3</f>
        <v>87156</v>
      </c>
      <c r="K5" s="4" t="n">
        <f aca="false">G5+H5</f>
        <v>81370</v>
      </c>
      <c r="L5" s="4" t="n">
        <f aca="false">J5-K5</f>
        <v>5786</v>
      </c>
      <c r="M5" s="4" t="n">
        <f aca="false">Supuestos!$B$2+L5</f>
        <v>65786</v>
      </c>
      <c r="N5" s="4" t="str">
        <f aca="false">IF(M5&lt;Supuestos!$B$4,"ALERTA","OK")</f>
        <v>OK</v>
      </c>
      <c r="O5" s="24" t="n">
        <f aca="false">Supuestos!$B$5</f>
        <v>0.6</v>
      </c>
    </row>
    <row r="6" customFormat="false" ht="15" hidden="false" customHeight="false" outlineLevel="0" collapsed="false">
      <c r="A6" s="4" t="str">
        <f aca="false">Datos!A3</f>
        <v>Feb</v>
      </c>
      <c r="B6" s="4" t="s">
        <v>102</v>
      </c>
      <c r="C6" s="22" t="n">
        <f aca="false">Datos!H3</f>
        <v>905</v>
      </c>
      <c r="D6" s="23" t="n">
        <f aca="false">Datos!I3</f>
        <v>101</v>
      </c>
      <c r="E6" s="4" t="n">
        <f aca="false">C6*D6</f>
        <v>91405</v>
      </c>
      <c r="F6" s="23" t="n">
        <f aca="false">Datos!J3</f>
        <v>40</v>
      </c>
      <c r="G6" s="4" t="n">
        <f aca="false">C6*F6</f>
        <v>36200</v>
      </c>
      <c r="H6" s="4" t="n">
        <f aca="false">Datos!K3+Datos!L3+Datos!M3</f>
        <v>45300</v>
      </c>
      <c r="I6" s="4" t="n">
        <f aca="false">E6-G6-H6</f>
        <v>9905</v>
      </c>
      <c r="J6" s="4" t="n">
        <f aca="false">E6*O6+E5*(1-O5)</f>
        <v>88947</v>
      </c>
      <c r="K6" s="4" t="n">
        <f aca="false">G6+H6</f>
        <v>81500</v>
      </c>
      <c r="L6" s="4" t="n">
        <f aca="false">J6-K6</f>
        <v>7447</v>
      </c>
      <c r="M6" s="4" t="n">
        <f aca="false">M5+L6</f>
        <v>73233</v>
      </c>
      <c r="N6" s="4" t="str">
        <f aca="false">IF(M6&lt;Supuestos!$B$4,"ALERTA","OK")</f>
        <v>OK</v>
      </c>
      <c r="O6" s="24" t="n">
        <f aca="false">Supuestos!$B$5</f>
        <v>0.6</v>
      </c>
    </row>
    <row r="7" customFormat="false" ht="15" hidden="false" customHeight="false" outlineLevel="0" collapsed="false">
      <c r="A7" s="4" t="str">
        <f aca="false">Datos!A4</f>
        <v>Mar</v>
      </c>
      <c r="B7" s="4" t="s">
        <v>102</v>
      </c>
      <c r="C7" s="22" t="n">
        <f aca="false">Datos!H4</f>
        <v>860</v>
      </c>
      <c r="D7" s="23" t="n">
        <f aca="false">Datos!I4</f>
        <v>99</v>
      </c>
      <c r="E7" s="4" t="n">
        <f aca="false">C7*D7</f>
        <v>85140</v>
      </c>
      <c r="F7" s="23" t="n">
        <f aca="false">Datos!J4</f>
        <v>42</v>
      </c>
      <c r="G7" s="4" t="n">
        <f aca="false">C7*F7</f>
        <v>36120</v>
      </c>
      <c r="H7" s="4" t="n">
        <f aca="false">Datos!K4+Datos!L4+Datos!M4</f>
        <v>47100</v>
      </c>
      <c r="I7" s="4" t="n">
        <f aca="false">E7-G7-H7</f>
        <v>1920</v>
      </c>
      <c r="J7" s="4" t="n">
        <f aca="false">E7*O7+E6*(1-O6)</f>
        <v>87646</v>
      </c>
      <c r="K7" s="4" t="n">
        <f aca="false">G7+H7</f>
        <v>83220</v>
      </c>
      <c r="L7" s="4" t="n">
        <f aca="false">J7-K7</f>
        <v>4426</v>
      </c>
      <c r="M7" s="4" t="n">
        <f aca="false">M6+L7</f>
        <v>77659</v>
      </c>
      <c r="N7" s="4" t="str">
        <f aca="false">IF(M7&lt;Supuestos!$B$4,"ALERTA","OK")</f>
        <v>OK</v>
      </c>
      <c r="O7" s="24" t="n">
        <f aca="false">Supuestos!$B$5</f>
        <v>0.6</v>
      </c>
    </row>
    <row r="8" customFormat="false" ht="15" hidden="false" customHeight="false" outlineLevel="0" collapsed="false">
      <c r="A8" s="4" t="str">
        <f aca="false">Datos!A5</f>
        <v>Abr</v>
      </c>
      <c r="B8" s="4" t="s">
        <v>102</v>
      </c>
      <c r="C8" s="22" t="n">
        <f aca="false">Datos!H5</f>
        <v>880</v>
      </c>
      <c r="D8" s="23" t="n">
        <f aca="false">Datos!I5</f>
        <v>97</v>
      </c>
      <c r="E8" s="4" t="n">
        <f aca="false">C8*D8</f>
        <v>85360</v>
      </c>
      <c r="F8" s="23" t="n">
        <f aca="false">Datos!J5</f>
        <v>43</v>
      </c>
      <c r="G8" s="4" t="n">
        <f aca="false">C8*F8</f>
        <v>37840</v>
      </c>
      <c r="H8" s="4" t="n">
        <f aca="false">Datos!K5+Datos!L5+Datos!M5</f>
        <v>46400</v>
      </c>
      <c r="I8" s="4" t="n">
        <f aca="false">E8-G8-H8</f>
        <v>1120</v>
      </c>
      <c r="J8" s="4" t="n">
        <f aca="false">E8*O8+E7*(1-O7)</f>
        <v>85272</v>
      </c>
      <c r="K8" s="4" t="n">
        <f aca="false">G8+H8</f>
        <v>84240</v>
      </c>
      <c r="L8" s="4" t="n">
        <f aca="false">J8-K8</f>
        <v>1032</v>
      </c>
      <c r="M8" s="4" t="n">
        <f aca="false">M7+L8</f>
        <v>78691</v>
      </c>
      <c r="N8" s="4" t="str">
        <f aca="false">IF(M8&lt;Supuestos!$B$4,"ALERTA","OK")</f>
        <v>OK</v>
      </c>
      <c r="O8" s="24" t="n">
        <f aca="false">Supuestos!$B$5</f>
        <v>0.6</v>
      </c>
    </row>
    <row r="9" customFormat="false" ht="15" hidden="false" customHeight="false" outlineLevel="0" collapsed="false">
      <c r="A9" s="4" t="str">
        <f aca="false">Datos!A6</f>
        <v>May</v>
      </c>
      <c r="B9" s="4" t="s">
        <v>102</v>
      </c>
      <c r="C9" s="22" t="n">
        <f aca="false">Datos!H6</f>
        <v>845</v>
      </c>
      <c r="D9" s="23" t="n">
        <f aca="false">Datos!I6</f>
        <v>100</v>
      </c>
      <c r="E9" s="4" t="n">
        <f aca="false">C9*D9</f>
        <v>84500</v>
      </c>
      <c r="F9" s="23" t="n">
        <f aca="false">Datos!J6</f>
        <v>41</v>
      </c>
      <c r="G9" s="4" t="n">
        <f aca="false">C9*F9</f>
        <v>34645</v>
      </c>
      <c r="H9" s="4" t="n">
        <f aca="false">Datos!K6+Datos!L6+Datos!M6</f>
        <v>46200</v>
      </c>
      <c r="I9" s="4" t="n">
        <f aca="false">E9-G9-H9</f>
        <v>3655</v>
      </c>
      <c r="J9" s="4" t="n">
        <f aca="false">E9*O9+E8*(1-O8)</f>
        <v>84844</v>
      </c>
      <c r="K9" s="4" t="n">
        <f aca="false">G9+H9</f>
        <v>80845</v>
      </c>
      <c r="L9" s="4" t="n">
        <f aca="false">J9-K9</f>
        <v>3999</v>
      </c>
      <c r="M9" s="4" t="n">
        <f aca="false">M8+L9</f>
        <v>82690</v>
      </c>
      <c r="N9" s="4" t="str">
        <f aca="false">IF(M9&lt;Supuestos!$B$4,"ALERTA","OK")</f>
        <v>OK</v>
      </c>
      <c r="O9" s="24" t="n">
        <f aca="false">Supuestos!$B$5</f>
        <v>0.6</v>
      </c>
    </row>
    <row r="10" customFormat="false" ht="15" hidden="false" customHeight="false" outlineLevel="0" collapsed="false">
      <c r="A10" s="4" t="str">
        <f aca="false">Datos!A7</f>
        <v>Jun</v>
      </c>
      <c r="B10" s="4" t="s">
        <v>102</v>
      </c>
      <c r="C10" s="22" t="n">
        <f aca="false">Datos!H7</f>
        <v>890</v>
      </c>
      <c r="D10" s="23" t="n">
        <f aca="false">Datos!I7</f>
        <v>99</v>
      </c>
      <c r="E10" s="4" t="n">
        <f aca="false">C10*D10</f>
        <v>88110</v>
      </c>
      <c r="F10" s="23" t="n">
        <f aca="false">Datos!J7</f>
        <v>42</v>
      </c>
      <c r="G10" s="4" t="n">
        <f aca="false">C10*F10</f>
        <v>37380</v>
      </c>
      <c r="H10" s="4" t="n">
        <f aca="false">Datos!K7+Datos!L7+Datos!M7</f>
        <v>48200</v>
      </c>
      <c r="I10" s="4" t="n">
        <f aca="false">E10-G10-H10</f>
        <v>2530</v>
      </c>
      <c r="J10" s="4" t="n">
        <f aca="false">E10*O10+E9*(1-O9)</f>
        <v>86666</v>
      </c>
      <c r="K10" s="4" t="n">
        <f aca="false">G10+H10</f>
        <v>85580</v>
      </c>
      <c r="L10" s="4" t="n">
        <f aca="false">J10-K10</f>
        <v>1086</v>
      </c>
      <c r="M10" s="4" t="n">
        <f aca="false">M9+L10</f>
        <v>83776</v>
      </c>
      <c r="N10" s="4" t="str">
        <f aca="false">IF(M10&lt;Supuestos!$B$4,"ALERTA","OK")</f>
        <v>OK</v>
      </c>
      <c r="O10" s="24" t="n">
        <f aca="false">Supuestos!$B$5</f>
        <v>0.6</v>
      </c>
    </row>
    <row r="11" customFormat="false" ht="15" hidden="false" customHeight="false" outlineLevel="0" collapsed="false">
      <c r="A11" s="4" t="str">
        <f aca="false">Datos!A8</f>
        <v>Jul</v>
      </c>
      <c r="B11" s="4" t="s">
        <v>103</v>
      </c>
      <c r="C11" s="22" t="n">
        <f aca="false">AVERAGE($C$8:$C$10)*(1+$E$2)^1</f>
        <v>893.458333333333</v>
      </c>
      <c r="D11" s="23" t="n">
        <f aca="false">AVERAGE($D$8:$D$10)*(1+$G$2)</f>
        <v>101.626666666667</v>
      </c>
      <c r="E11" s="4" t="n">
        <f aca="false">C11*D11</f>
        <v>90799.1922222222</v>
      </c>
      <c r="F11" s="23" t="n">
        <f aca="false">AVERAGE($F$8:$F$10)*(1+$I$2)</f>
        <v>41.16</v>
      </c>
      <c r="G11" s="4" t="n">
        <f aca="false">C11*F11</f>
        <v>36774.745</v>
      </c>
      <c r="H11" s="4" t="n">
        <f aca="false">AVERAGE($H$8:$H$10)</f>
        <v>46933.3333333333</v>
      </c>
      <c r="I11" s="4" t="n">
        <f aca="false">E11-G11-H11</f>
        <v>7091.11388888889</v>
      </c>
      <c r="J11" s="4" t="n">
        <f aca="false">E11*O11+E10*(1-O10)</f>
        <v>98803.4345555556</v>
      </c>
      <c r="K11" s="4" t="n">
        <f aca="false">G11+H11</f>
        <v>83708.0783333333</v>
      </c>
      <c r="L11" s="4" t="n">
        <f aca="false">J11-K11</f>
        <v>15095.3562222222</v>
      </c>
      <c r="M11" s="4" t="n">
        <f aca="false">M10+L11</f>
        <v>98871.3562222222</v>
      </c>
      <c r="N11" s="4" t="str">
        <f aca="false">IF(M11&lt;Supuestos!$B$4,"ALERTA","OK")</f>
        <v>OK</v>
      </c>
      <c r="O11" s="24" t="n">
        <f aca="false">$K$2</f>
        <v>0.7</v>
      </c>
    </row>
    <row r="12" customFormat="false" ht="15" hidden="false" customHeight="false" outlineLevel="0" collapsed="false">
      <c r="A12" s="4" t="str">
        <f aca="false">Datos!A9</f>
        <v>Ago</v>
      </c>
      <c r="B12" s="4" t="s">
        <v>103</v>
      </c>
      <c r="C12" s="22" t="n">
        <f aca="false">AVERAGE($C$8:$C$10)*(1+$E$2)^2</f>
        <v>915.794791666667</v>
      </c>
      <c r="D12" s="23" t="n">
        <f aca="false">AVERAGE($D$8:$D$10)*(1+$G$2)</f>
        <v>101.626666666667</v>
      </c>
      <c r="E12" s="4" t="n">
        <f aca="false">C12*D12</f>
        <v>93069.1720277778</v>
      </c>
      <c r="F12" s="23" t="n">
        <f aca="false">AVERAGE($F$8:$F$10)*(1+$I$2)</f>
        <v>41.16</v>
      </c>
      <c r="G12" s="4" t="n">
        <f aca="false">C12*F12</f>
        <v>37694.113625</v>
      </c>
      <c r="H12" s="4" t="n">
        <f aca="false">AVERAGE($H$8:$H$10)</f>
        <v>46933.3333333333</v>
      </c>
      <c r="I12" s="4" t="n">
        <f aca="false">E12-G12-H12</f>
        <v>8441.72506944445</v>
      </c>
      <c r="J12" s="4" t="n">
        <f aca="false">E12*O12+E11*(1-O11)</f>
        <v>92388.1780861111</v>
      </c>
      <c r="K12" s="4" t="n">
        <f aca="false">G12+H12</f>
        <v>84627.4469583333</v>
      </c>
      <c r="L12" s="4" t="n">
        <f aca="false">J12-K12</f>
        <v>7760.73112777779</v>
      </c>
      <c r="M12" s="4" t="n">
        <f aca="false">M11+L12</f>
        <v>106632.08735</v>
      </c>
      <c r="N12" s="4" t="str">
        <f aca="false">IF(M12&lt;Supuestos!$B$4,"ALERTA","OK")</f>
        <v>OK</v>
      </c>
      <c r="O12" s="24" t="n">
        <f aca="false">$K$2</f>
        <v>0.7</v>
      </c>
    </row>
    <row r="13" customFormat="false" ht="15" hidden="false" customHeight="false" outlineLevel="0" collapsed="false">
      <c r="A13" s="4" t="str">
        <f aca="false">Datos!A10</f>
        <v>Sep</v>
      </c>
      <c r="B13" s="4" t="s">
        <v>103</v>
      </c>
      <c r="C13" s="22" t="n">
        <f aca="false">AVERAGE($C$8:$C$10)*(1+$E$2)^3</f>
        <v>938.689661458333</v>
      </c>
      <c r="D13" s="23" t="n">
        <f aca="false">AVERAGE($D$8:$D$10)*(1+$G$2)</f>
        <v>101.626666666667</v>
      </c>
      <c r="E13" s="4" t="n">
        <f aca="false">C13*D13</f>
        <v>95395.9013284722</v>
      </c>
      <c r="F13" s="23" t="n">
        <f aca="false">AVERAGE($F$8:$F$10)*(1+$I$2)</f>
        <v>41.16</v>
      </c>
      <c r="G13" s="4" t="n">
        <f aca="false">C13*F13</f>
        <v>38636.466465625</v>
      </c>
      <c r="H13" s="4" t="n">
        <f aca="false">AVERAGE($H$8:$H$10)</f>
        <v>46933.3333333333</v>
      </c>
      <c r="I13" s="4" t="n">
        <f aca="false">E13-G13-H13</f>
        <v>9826.10152951388</v>
      </c>
      <c r="J13" s="4" t="n">
        <f aca="false">E13*O13+E12*(1-O12)</f>
        <v>94697.8825382639</v>
      </c>
      <c r="K13" s="4" t="n">
        <f aca="false">G13+H13</f>
        <v>85569.7997989583</v>
      </c>
      <c r="L13" s="4" t="n">
        <f aca="false">J13-K13</f>
        <v>9128.08273930557</v>
      </c>
      <c r="M13" s="4" t="n">
        <f aca="false">M12+L13</f>
        <v>115760.170089306</v>
      </c>
      <c r="N13" s="4" t="str">
        <f aca="false">IF(M13&lt;Supuestos!$B$4,"ALERTA","OK")</f>
        <v>OK</v>
      </c>
      <c r="O13" s="24" t="n">
        <f aca="false">$K$2</f>
        <v>0.7</v>
      </c>
    </row>
    <row r="14" customFormat="false" ht="15" hidden="false" customHeight="false" outlineLevel="0" collapsed="false">
      <c r="A14" s="4" t="str">
        <f aca="false">Datos!A11</f>
        <v>Oct</v>
      </c>
      <c r="B14" s="4" t="s">
        <v>103</v>
      </c>
      <c r="C14" s="22" t="n">
        <f aca="false">AVERAGE($C$8:$C$10)*(1+$E$2)^4</f>
        <v>962.156902994791</v>
      </c>
      <c r="D14" s="23" t="n">
        <f aca="false">AVERAGE($D$8:$D$10)*(1+$G$2)</f>
        <v>101.626666666667</v>
      </c>
      <c r="E14" s="4" t="n">
        <f aca="false">C14*D14</f>
        <v>97780.798861684</v>
      </c>
      <c r="F14" s="23" t="n">
        <f aca="false">AVERAGE($F$8:$F$10)*(1+$I$2)</f>
        <v>41.16</v>
      </c>
      <c r="G14" s="4" t="n">
        <f aca="false">C14*F14</f>
        <v>39602.3781272656</v>
      </c>
      <c r="H14" s="4" t="n">
        <f aca="false">AVERAGE($H$8:$H$10)</f>
        <v>46933.3333333333</v>
      </c>
      <c r="I14" s="4" t="n">
        <f aca="false">E14-G14-H14</f>
        <v>11245.0874010851</v>
      </c>
      <c r="J14" s="4" t="n">
        <f aca="false">E14*O14+E13*(1-O13)</f>
        <v>97065.3296017205</v>
      </c>
      <c r="K14" s="4" t="n">
        <f aca="false">G14+H14</f>
        <v>86535.711460599</v>
      </c>
      <c r="L14" s="4" t="n">
        <f aca="false">J14-K14</f>
        <v>10529.6181411215</v>
      </c>
      <c r="M14" s="4" t="n">
        <f aca="false">M13+L14</f>
        <v>126289.788230427</v>
      </c>
      <c r="N14" s="4" t="str">
        <f aca="false">IF(M14&lt;Supuestos!$B$4,"ALERTA","OK")</f>
        <v>OK</v>
      </c>
      <c r="O14" s="24" t="n">
        <f aca="false">$K$2</f>
        <v>0.7</v>
      </c>
    </row>
    <row r="15" customFormat="false" ht="15" hidden="false" customHeight="false" outlineLevel="0" collapsed="false">
      <c r="A15" s="4" t="str">
        <f aca="false">Datos!A12</f>
        <v>Nov</v>
      </c>
      <c r="B15" s="4" t="s">
        <v>103</v>
      </c>
      <c r="C15" s="22" t="n">
        <f aca="false">AVERAGE($C$8:$C$10)*(1+$E$2)^5</f>
        <v>986.210825569661</v>
      </c>
      <c r="D15" s="23" t="n">
        <f aca="false">AVERAGE($D$8:$D$10)*(1+$G$2)</f>
        <v>101.626666666667</v>
      </c>
      <c r="E15" s="4" t="n">
        <f aca="false">C15*D15</f>
        <v>100225.318833226</v>
      </c>
      <c r="F15" s="23" t="n">
        <f aca="false">AVERAGE($F$8:$F$10)*(1+$I$2)</f>
        <v>41.16</v>
      </c>
      <c r="G15" s="4" t="n">
        <f aca="false">C15*F15</f>
        <v>40592.4375804472</v>
      </c>
      <c r="H15" s="4" t="n">
        <f aca="false">AVERAGE($H$8:$H$10)</f>
        <v>46933.3333333333</v>
      </c>
      <c r="I15" s="4" t="n">
        <f aca="false">E15-G15-H15</f>
        <v>12699.5479194455</v>
      </c>
      <c r="J15" s="4" t="n">
        <f aca="false">E15*O15+E14*(1-O14)</f>
        <v>99491.9628417635</v>
      </c>
      <c r="K15" s="4" t="n">
        <f aca="false">G15+H15</f>
        <v>87525.7709137806</v>
      </c>
      <c r="L15" s="4" t="n">
        <f aca="false">J15-K15</f>
        <v>11966.1919279829</v>
      </c>
      <c r="M15" s="4" t="n">
        <f aca="false">M14+L15</f>
        <v>138255.98015841</v>
      </c>
      <c r="N15" s="4" t="str">
        <f aca="false">IF(M15&lt;Supuestos!$B$4,"ALERTA","OK")</f>
        <v>OK</v>
      </c>
      <c r="O15" s="24" t="n">
        <f aca="false">$K$2</f>
        <v>0.7</v>
      </c>
    </row>
    <row r="16" customFormat="false" ht="15" hidden="false" customHeight="false" outlineLevel="0" collapsed="false">
      <c r="A16" s="4" t="str">
        <f aca="false">Datos!A13</f>
        <v>Dic</v>
      </c>
      <c r="B16" s="4" t="s">
        <v>103</v>
      </c>
      <c r="C16" s="22" t="n">
        <f aca="false">AVERAGE($C$8:$C$10)*(1+$E$2)^6</f>
        <v>1010.8660962089</v>
      </c>
      <c r="D16" s="23" t="n">
        <f aca="false">AVERAGE($D$8:$D$10)*(1+$G$2)</f>
        <v>101.626666666667</v>
      </c>
      <c r="E16" s="4" t="n">
        <f aca="false">C16*D16</f>
        <v>102730.951804057</v>
      </c>
      <c r="F16" s="23" t="n">
        <f aca="false">AVERAGE($F$8:$F$10)*(1+$I$2)</f>
        <v>41.16</v>
      </c>
      <c r="G16" s="4" t="n">
        <f aca="false">C16*F16</f>
        <v>41607.2485199584</v>
      </c>
      <c r="H16" s="4" t="n">
        <f aca="false">AVERAGE($H$8:$H$10)</f>
        <v>46933.3333333333</v>
      </c>
      <c r="I16" s="4" t="n">
        <f aca="false">E16-G16-H16</f>
        <v>14190.369950765</v>
      </c>
      <c r="J16" s="4" t="n">
        <f aca="false">E16*O16+E15*(1-O15)</f>
        <v>101979.261912808</v>
      </c>
      <c r="K16" s="4" t="n">
        <f aca="false">G16+H16</f>
        <v>88540.5818532918</v>
      </c>
      <c r="L16" s="4" t="n">
        <f aca="false">J16-K16</f>
        <v>13438.6800595158</v>
      </c>
      <c r="M16" s="4" t="n">
        <f aca="false">M15+L16</f>
        <v>151694.660217926</v>
      </c>
      <c r="N16" s="4" t="str">
        <f aca="false">IF(M16&lt;Supuestos!$B$4,"ALERTA","OK")</f>
        <v>OK</v>
      </c>
      <c r="O16" s="24" t="n">
        <f aca="false">$K$2</f>
        <v>0.7</v>
      </c>
    </row>
    <row r="17" customFormat="false" ht="15" hidden="false" customHeight="false" outlineLevel="0" collapsed="false">
      <c r="A17" s="1" t="s">
        <v>82</v>
      </c>
      <c r="E17" s="17" t="n">
        <f aca="false">SUM(E5:E16)</f>
        <v>1099776.33507744</v>
      </c>
      <c r="G17" s="17" t="n">
        <f aca="false">SUM(G5:G16)</f>
        <v>452762.389318296</v>
      </c>
      <c r="H17" s="17" t="n">
        <f aca="false">SUM(H5:H16)</f>
        <v>560500</v>
      </c>
      <c r="I17" s="17" t="n">
        <f aca="false">SUM(I5:I16)</f>
        <v>86513.9457591428</v>
      </c>
      <c r="J17" s="17" t="n">
        <f aca="false">SUM(J5:J16)</f>
        <v>1104957.04953622</v>
      </c>
      <c r="K17" s="17" t="n">
        <f aca="false">SUM(K5:K16)</f>
        <v>1013262.3893183</v>
      </c>
      <c r="L17" s="17" t="n">
        <f aca="false">SUM(L5:L16)</f>
        <v>91694.6602179258</v>
      </c>
    </row>
    <row r="19" customFormat="false" ht="15" hidden="false" customHeight="false" outlineLevel="0" collapsed="false">
      <c r="A19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5" min="2" style="0" width="14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" t="s">
        <v>84</v>
      </c>
      <c r="B2" s="20" t="n">
        <v>3</v>
      </c>
      <c r="C2" s="2" t="str">
        <f aca="false">INDEX(Supuestos!$B$8:$D$8,$B$2)</f>
        <v>Pesimista</v>
      </c>
      <c r="D2" s="2" t="s">
        <v>85</v>
      </c>
      <c r="E2" s="21" t="n">
        <f aca="false">INDEX(Supuestos!$B$9:$D$9,$B$2)</f>
        <v>-0.01</v>
      </c>
      <c r="F2" s="2" t="s">
        <v>86</v>
      </c>
      <c r="G2" s="21" t="n">
        <f aca="false">INDEX(Supuestos!$B$10:$D$10,$B$2)</f>
        <v>-0.02</v>
      </c>
      <c r="H2" s="2" t="s">
        <v>87</v>
      </c>
      <c r="I2" s="21" t="n">
        <f aca="false">INDEX(Supuestos!$B$11:$D$11,$B$2)</f>
        <v>0.04</v>
      </c>
      <c r="J2" s="2" t="s">
        <v>88</v>
      </c>
      <c r="K2" s="21" t="n">
        <f aca="false">INDEX(Supuestos!$B$12:$D$12,$B$2)</f>
        <v>0.45</v>
      </c>
    </row>
    <row r="4" customFormat="false" ht="31.5" hidden="false" customHeight="true" outlineLevel="0" collapsed="false">
      <c r="A4" s="3" t="s">
        <v>40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88</v>
      </c>
    </row>
    <row r="5" customFormat="false" ht="15" hidden="false" customHeight="false" outlineLevel="0" collapsed="false">
      <c r="A5" s="4" t="str">
        <f aca="false">Datos!A2</f>
        <v>Ene</v>
      </c>
      <c r="B5" s="4" t="s">
        <v>102</v>
      </c>
      <c r="C5" s="22" t="n">
        <f aca="false">Datos!H2</f>
        <v>870</v>
      </c>
      <c r="D5" s="23" t="n">
        <f aca="false">Datos!I2</f>
        <v>98</v>
      </c>
      <c r="E5" s="4" t="n">
        <f aca="false">C5*D5</f>
        <v>85260</v>
      </c>
      <c r="F5" s="23" t="n">
        <f aca="false">Datos!J2</f>
        <v>41</v>
      </c>
      <c r="G5" s="4" t="n">
        <f aca="false">C5*F5</f>
        <v>35670</v>
      </c>
      <c r="H5" s="4" t="n">
        <f aca="false">Datos!K2+Datos!L2+Datos!M2</f>
        <v>45700</v>
      </c>
      <c r="I5" s="4" t="n">
        <f aca="false">E5-G5-H5</f>
        <v>3890</v>
      </c>
      <c r="J5" s="4" t="n">
        <f aca="false">E5*O5+Supuestos!$B$3</f>
        <v>87156</v>
      </c>
      <c r="K5" s="4" t="n">
        <f aca="false">G5+H5</f>
        <v>81370</v>
      </c>
      <c r="L5" s="4" t="n">
        <f aca="false">J5-K5</f>
        <v>5786</v>
      </c>
      <c r="M5" s="4" t="n">
        <f aca="false">Supuestos!$B$2+L5</f>
        <v>65786</v>
      </c>
      <c r="N5" s="4" t="str">
        <f aca="false">IF(M5&lt;Supuestos!$B$4,"ALERTA","OK")</f>
        <v>OK</v>
      </c>
      <c r="O5" s="24" t="n">
        <f aca="false">Supuestos!$B$5</f>
        <v>0.6</v>
      </c>
    </row>
    <row r="6" customFormat="false" ht="15" hidden="false" customHeight="false" outlineLevel="0" collapsed="false">
      <c r="A6" s="4" t="str">
        <f aca="false">Datos!A3</f>
        <v>Feb</v>
      </c>
      <c r="B6" s="4" t="s">
        <v>102</v>
      </c>
      <c r="C6" s="22" t="n">
        <f aca="false">Datos!H3</f>
        <v>905</v>
      </c>
      <c r="D6" s="23" t="n">
        <f aca="false">Datos!I3</f>
        <v>101</v>
      </c>
      <c r="E6" s="4" t="n">
        <f aca="false">C6*D6</f>
        <v>91405</v>
      </c>
      <c r="F6" s="23" t="n">
        <f aca="false">Datos!J3</f>
        <v>40</v>
      </c>
      <c r="G6" s="4" t="n">
        <f aca="false">C6*F6</f>
        <v>36200</v>
      </c>
      <c r="H6" s="4" t="n">
        <f aca="false">Datos!K3+Datos!L3+Datos!M3</f>
        <v>45300</v>
      </c>
      <c r="I6" s="4" t="n">
        <f aca="false">E6-G6-H6</f>
        <v>9905</v>
      </c>
      <c r="J6" s="4" t="n">
        <f aca="false">E6*O6+E5*(1-O5)</f>
        <v>88947</v>
      </c>
      <c r="K6" s="4" t="n">
        <f aca="false">G6+H6</f>
        <v>81500</v>
      </c>
      <c r="L6" s="4" t="n">
        <f aca="false">J6-K6</f>
        <v>7447</v>
      </c>
      <c r="M6" s="4" t="n">
        <f aca="false">M5+L6</f>
        <v>73233</v>
      </c>
      <c r="N6" s="4" t="str">
        <f aca="false">IF(M6&lt;Supuestos!$B$4,"ALERTA","OK")</f>
        <v>OK</v>
      </c>
      <c r="O6" s="24" t="n">
        <f aca="false">Supuestos!$B$5</f>
        <v>0.6</v>
      </c>
    </row>
    <row r="7" customFormat="false" ht="15" hidden="false" customHeight="false" outlineLevel="0" collapsed="false">
      <c r="A7" s="4" t="str">
        <f aca="false">Datos!A4</f>
        <v>Mar</v>
      </c>
      <c r="B7" s="4" t="s">
        <v>102</v>
      </c>
      <c r="C7" s="22" t="n">
        <f aca="false">Datos!H4</f>
        <v>860</v>
      </c>
      <c r="D7" s="23" t="n">
        <f aca="false">Datos!I4</f>
        <v>99</v>
      </c>
      <c r="E7" s="4" t="n">
        <f aca="false">C7*D7</f>
        <v>85140</v>
      </c>
      <c r="F7" s="23" t="n">
        <f aca="false">Datos!J4</f>
        <v>42</v>
      </c>
      <c r="G7" s="4" t="n">
        <f aca="false">C7*F7</f>
        <v>36120</v>
      </c>
      <c r="H7" s="4" t="n">
        <f aca="false">Datos!K4+Datos!L4+Datos!M4</f>
        <v>47100</v>
      </c>
      <c r="I7" s="4" t="n">
        <f aca="false">E7-G7-H7</f>
        <v>1920</v>
      </c>
      <c r="J7" s="4" t="n">
        <f aca="false">E7*O7+E6*(1-O6)</f>
        <v>87646</v>
      </c>
      <c r="K7" s="4" t="n">
        <f aca="false">G7+H7</f>
        <v>83220</v>
      </c>
      <c r="L7" s="4" t="n">
        <f aca="false">J7-K7</f>
        <v>4426</v>
      </c>
      <c r="M7" s="4" t="n">
        <f aca="false">M6+L7</f>
        <v>77659</v>
      </c>
      <c r="N7" s="4" t="str">
        <f aca="false">IF(M7&lt;Supuestos!$B$4,"ALERTA","OK")</f>
        <v>OK</v>
      </c>
      <c r="O7" s="24" t="n">
        <f aca="false">Supuestos!$B$5</f>
        <v>0.6</v>
      </c>
    </row>
    <row r="8" customFormat="false" ht="15" hidden="false" customHeight="false" outlineLevel="0" collapsed="false">
      <c r="A8" s="4" t="str">
        <f aca="false">Datos!A5</f>
        <v>Abr</v>
      </c>
      <c r="B8" s="4" t="s">
        <v>102</v>
      </c>
      <c r="C8" s="22" t="n">
        <f aca="false">Datos!H5</f>
        <v>880</v>
      </c>
      <c r="D8" s="23" t="n">
        <f aca="false">Datos!I5</f>
        <v>97</v>
      </c>
      <c r="E8" s="4" t="n">
        <f aca="false">C8*D8</f>
        <v>85360</v>
      </c>
      <c r="F8" s="23" t="n">
        <f aca="false">Datos!J5</f>
        <v>43</v>
      </c>
      <c r="G8" s="4" t="n">
        <f aca="false">C8*F8</f>
        <v>37840</v>
      </c>
      <c r="H8" s="4" t="n">
        <f aca="false">Datos!K5+Datos!L5+Datos!M5</f>
        <v>46400</v>
      </c>
      <c r="I8" s="4" t="n">
        <f aca="false">E8-G8-H8</f>
        <v>1120</v>
      </c>
      <c r="J8" s="4" t="n">
        <f aca="false">E8*O8+E7*(1-O7)</f>
        <v>85272</v>
      </c>
      <c r="K8" s="4" t="n">
        <f aca="false">G8+H8</f>
        <v>84240</v>
      </c>
      <c r="L8" s="4" t="n">
        <f aca="false">J8-K8</f>
        <v>1032</v>
      </c>
      <c r="M8" s="4" t="n">
        <f aca="false">M7+L8</f>
        <v>78691</v>
      </c>
      <c r="N8" s="4" t="str">
        <f aca="false">IF(M8&lt;Supuestos!$B$4,"ALERTA","OK")</f>
        <v>OK</v>
      </c>
      <c r="O8" s="24" t="n">
        <f aca="false">Supuestos!$B$5</f>
        <v>0.6</v>
      </c>
    </row>
    <row r="9" customFormat="false" ht="15" hidden="false" customHeight="false" outlineLevel="0" collapsed="false">
      <c r="A9" s="4" t="str">
        <f aca="false">Datos!A6</f>
        <v>May</v>
      </c>
      <c r="B9" s="4" t="s">
        <v>102</v>
      </c>
      <c r="C9" s="22" t="n">
        <f aca="false">Datos!H6</f>
        <v>845</v>
      </c>
      <c r="D9" s="23" t="n">
        <f aca="false">Datos!I6</f>
        <v>100</v>
      </c>
      <c r="E9" s="4" t="n">
        <f aca="false">C9*D9</f>
        <v>84500</v>
      </c>
      <c r="F9" s="23" t="n">
        <f aca="false">Datos!J6</f>
        <v>41</v>
      </c>
      <c r="G9" s="4" t="n">
        <f aca="false">C9*F9</f>
        <v>34645</v>
      </c>
      <c r="H9" s="4" t="n">
        <f aca="false">Datos!K6+Datos!L6+Datos!M6</f>
        <v>46200</v>
      </c>
      <c r="I9" s="4" t="n">
        <f aca="false">E9-G9-H9</f>
        <v>3655</v>
      </c>
      <c r="J9" s="4" t="n">
        <f aca="false">E9*O9+E8*(1-O8)</f>
        <v>84844</v>
      </c>
      <c r="K9" s="4" t="n">
        <f aca="false">G9+H9</f>
        <v>80845</v>
      </c>
      <c r="L9" s="4" t="n">
        <f aca="false">J9-K9</f>
        <v>3999</v>
      </c>
      <c r="M9" s="4" t="n">
        <f aca="false">M8+L9</f>
        <v>82690</v>
      </c>
      <c r="N9" s="4" t="str">
        <f aca="false">IF(M9&lt;Supuestos!$B$4,"ALERTA","OK")</f>
        <v>OK</v>
      </c>
      <c r="O9" s="24" t="n">
        <f aca="false">Supuestos!$B$5</f>
        <v>0.6</v>
      </c>
    </row>
    <row r="10" customFormat="false" ht="15" hidden="false" customHeight="false" outlineLevel="0" collapsed="false">
      <c r="A10" s="4" t="str">
        <f aca="false">Datos!A7</f>
        <v>Jun</v>
      </c>
      <c r="B10" s="4" t="s">
        <v>102</v>
      </c>
      <c r="C10" s="22" t="n">
        <f aca="false">Datos!H7</f>
        <v>890</v>
      </c>
      <c r="D10" s="23" t="n">
        <f aca="false">Datos!I7</f>
        <v>99</v>
      </c>
      <c r="E10" s="4" t="n">
        <f aca="false">C10*D10</f>
        <v>88110</v>
      </c>
      <c r="F10" s="23" t="n">
        <f aca="false">Datos!J7</f>
        <v>42</v>
      </c>
      <c r="G10" s="4" t="n">
        <f aca="false">C10*F10</f>
        <v>37380</v>
      </c>
      <c r="H10" s="4" t="n">
        <f aca="false">Datos!K7+Datos!L7+Datos!M7</f>
        <v>48200</v>
      </c>
      <c r="I10" s="4" t="n">
        <f aca="false">E10-G10-H10</f>
        <v>2530</v>
      </c>
      <c r="J10" s="4" t="n">
        <f aca="false">E10*O10+E9*(1-O9)</f>
        <v>86666</v>
      </c>
      <c r="K10" s="4" t="n">
        <f aca="false">G10+H10</f>
        <v>85580</v>
      </c>
      <c r="L10" s="4" t="n">
        <f aca="false">J10-K10</f>
        <v>1086</v>
      </c>
      <c r="M10" s="4" t="n">
        <f aca="false">M9+L10</f>
        <v>83776</v>
      </c>
      <c r="N10" s="4" t="str">
        <f aca="false">IF(M10&lt;Supuestos!$B$4,"ALERTA","OK")</f>
        <v>OK</v>
      </c>
      <c r="O10" s="24" t="n">
        <f aca="false">Supuestos!$B$5</f>
        <v>0.6</v>
      </c>
    </row>
    <row r="11" customFormat="false" ht="15" hidden="false" customHeight="false" outlineLevel="0" collapsed="false">
      <c r="A11" s="4" t="str">
        <f aca="false">Datos!A8</f>
        <v>Jul</v>
      </c>
      <c r="B11" s="4" t="s">
        <v>103</v>
      </c>
      <c r="C11" s="22" t="n">
        <f aca="false">AVERAGE($C$8:$C$10)*(1+$E$2)^1</f>
        <v>862.95</v>
      </c>
      <c r="D11" s="23" t="n">
        <f aca="false">AVERAGE($D$8:$D$10)*(1+$G$2)</f>
        <v>96.6933333333333</v>
      </c>
      <c r="E11" s="4" t="n">
        <f aca="false">C11*D11</f>
        <v>83441.512</v>
      </c>
      <c r="F11" s="23" t="n">
        <f aca="false">AVERAGE($F$8:$F$10)*(1+$I$2)</f>
        <v>43.68</v>
      </c>
      <c r="G11" s="4" t="n">
        <f aca="false">C11*F11</f>
        <v>37693.656</v>
      </c>
      <c r="H11" s="4" t="n">
        <f aca="false">AVERAGE($H$8:$H$10)</f>
        <v>46933.3333333333</v>
      </c>
      <c r="I11" s="4" t="n">
        <f aca="false">E11-G11-H11</f>
        <v>-1185.47733333333</v>
      </c>
      <c r="J11" s="4" t="n">
        <f aca="false">E11*O11+E10*(1-O10)</f>
        <v>72792.6804</v>
      </c>
      <c r="K11" s="4" t="n">
        <f aca="false">G11+H11</f>
        <v>84626.9893333333</v>
      </c>
      <c r="L11" s="4" t="n">
        <f aca="false">J11-K11</f>
        <v>-11834.3089333333</v>
      </c>
      <c r="M11" s="4" t="n">
        <f aca="false">M10+L11</f>
        <v>71941.6910666667</v>
      </c>
      <c r="N11" s="4" t="str">
        <f aca="false">IF(M11&lt;Supuestos!$B$4,"ALERTA","OK")</f>
        <v>OK</v>
      </c>
      <c r="O11" s="24" t="n">
        <f aca="false">$K$2</f>
        <v>0.45</v>
      </c>
    </row>
    <row r="12" customFormat="false" ht="15" hidden="false" customHeight="false" outlineLevel="0" collapsed="false">
      <c r="A12" s="4" t="str">
        <f aca="false">Datos!A9</f>
        <v>Ago</v>
      </c>
      <c r="B12" s="4" t="s">
        <v>103</v>
      </c>
      <c r="C12" s="22" t="n">
        <f aca="false">AVERAGE($C$8:$C$10)*(1+$E$2)^2</f>
        <v>854.3205</v>
      </c>
      <c r="D12" s="23" t="n">
        <f aca="false">AVERAGE($D$8:$D$10)*(1+$G$2)</f>
        <v>96.6933333333333</v>
      </c>
      <c r="E12" s="4" t="n">
        <f aca="false">C12*D12</f>
        <v>82607.09688</v>
      </c>
      <c r="F12" s="23" t="n">
        <f aca="false">AVERAGE($F$8:$F$10)*(1+$I$2)</f>
        <v>43.68</v>
      </c>
      <c r="G12" s="4" t="n">
        <f aca="false">C12*F12</f>
        <v>37316.71944</v>
      </c>
      <c r="H12" s="4" t="n">
        <f aca="false">AVERAGE($H$8:$H$10)</f>
        <v>46933.3333333333</v>
      </c>
      <c r="I12" s="4" t="n">
        <f aca="false">E12-G12-H12</f>
        <v>-1642.95589333333</v>
      </c>
      <c r="J12" s="4" t="n">
        <f aca="false">E12*O12+E11*(1-O11)</f>
        <v>83066.025196</v>
      </c>
      <c r="K12" s="4" t="n">
        <f aca="false">G12+H12</f>
        <v>84250.0527733333</v>
      </c>
      <c r="L12" s="4" t="n">
        <f aca="false">J12-K12</f>
        <v>-1184.02757733333</v>
      </c>
      <c r="M12" s="4" t="n">
        <f aca="false">M11+L12</f>
        <v>70757.6634893334</v>
      </c>
      <c r="N12" s="4" t="str">
        <f aca="false">IF(M12&lt;Supuestos!$B$4,"ALERTA","OK")</f>
        <v>OK</v>
      </c>
      <c r="O12" s="24" t="n">
        <f aca="false">$K$2</f>
        <v>0.45</v>
      </c>
    </row>
    <row r="13" customFormat="false" ht="15" hidden="false" customHeight="false" outlineLevel="0" collapsed="false">
      <c r="A13" s="4" t="str">
        <f aca="false">Datos!A10</f>
        <v>Sep</v>
      </c>
      <c r="B13" s="4" t="s">
        <v>103</v>
      </c>
      <c r="C13" s="22" t="n">
        <f aca="false">AVERAGE($C$8:$C$10)*(1+$E$2)^3</f>
        <v>845.777295</v>
      </c>
      <c r="D13" s="23" t="n">
        <f aca="false">AVERAGE($D$8:$D$10)*(1+$G$2)</f>
        <v>96.6933333333333</v>
      </c>
      <c r="E13" s="4" t="n">
        <f aca="false">C13*D13</f>
        <v>81781.0259112</v>
      </c>
      <c r="F13" s="23" t="n">
        <f aca="false">AVERAGE($F$8:$F$10)*(1+$I$2)</f>
        <v>43.68</v>
      </c>
      <c r="G13" s="4" t="n">
        <f aca="false">C13*F13</f>
        <v>36943.5522456</v>
      </c>
      <c r="H13" s="4" t="n">
        <f aca="false">AVERAGE($H$8:$H$10)</f>
        <v>46933.3333333333</v>
      </c>
      <c r="I13" s="4" t="n">
        <f aca="false">E13-G13-H13</f>
        <v>-2095.85966773333</v>
      </c>
      <c r="J13" s="4" t="n">
        <f aca="false">E13*O13+E12*(1-O12)</f>
        <v>82235.36494404</v>
      </c>
      <c r="K13" s="4" t="n">
        <f aca="false">G13+H13</f>
        <v>83876.8855789333</v>
      </c>
      <c r="L13" s="4" t="n">
        <f aca="false">J13-K13</f>
        <v>-1641.52063489333</v>
      </c>
      <c r="M13" s="4" t="n">
        <f aca="false">M12+L13</f>
        <v>69116.14285444</v>
      </c>
      <c r="N13" s="4" t="str">
        <f aca="false">IF(M13&lt;Supuestos!$B$4,"ALERTA","OK")</f>
        <v>OK</v>
      </c>
      <c r="O13" s="24" t="n">
        <f aca="false">$K$2</f>
        <v>0.45</v>
      </c>
    </row>
    <row r="14" customFormat="false" ht="15" hidden="false" customHeight="false" outlineLevel="0" collapsed="false">
      <c r="A14" s="4" t="str">
        <f aca="false">Datos!A11</f>
        <v>Oct</v>
      </c>
      <c r="B14" s="4" t="s">
        <v>103</v>
      </c>
      <c r="C14" s="22" t="n">
        <f aca="false">AVERAGE($C$8:$C$10)*(1+$E$2)^4</f>
        <v>837.31952205</v>
      </c>
      <c r="D14" s="23" t="n">
        <f aca="false">AVERAGE($D$8:$D$10)*(1+$G$2)</f>
        <v>96.6933333333333</v>
      </c>
      <c r="E14" s="4" t="n">
        <f aca="false">C14*D14</f>
        <v>80963.215652088</v>
      </c>
      <c r="F14" s="23" t="n">
        <f aca="false">AVERAGE($F$8:$F$10)*(1+$I$2)</f>
        <v>43.68</v>
      </c>
      <c r="G14" s="4" t="n">
        <f aca="false">C14*F14</f>
        <v>36574.116723144</v>
      </c>
      <c r="H14" s="4" t="n">
        <f aca="false">AVERAGE($H$8:$H$10)</f>
        <v>46933.3333333333</v>
      </c>
      <c r="I14" s="4" t="n">
        <f aca="false">E14-G14-H14</f>
        <v>-2544.23440438934</v>
      </c>
      <c r="J14" s="4" t="n">
        <f aca="false">E14*O14+E13*(1-O13)</f>
        <v>81413.0112945996</v>
      </c>
      <c r="K14" s="4" t="n">
        <f aca="false">G14+H14</f>
        <v>83507.4500564773</v>
      </c>
      <c r="L14" s="4" t="n">
        <f aca="false">J14-K14</f>
        <v>-2094.43876187773</v>
      </c>
      <c r="M14" s="4" t="n">
        <f aca="false">M13+L14</f>
        <v>67021.7040925623</v>
      </c>
      <c r="N14" s="4" t="str">
        <f aca="false">IF(M14&lt;Supuestos!$B$4,"ALERTA","OK")</f>
        <v>OK</v>
      </c>
      <c r="O14" s="24" t="n">
        <f aca="false">$K$2</f>
        <v>0.45</v>
      </c>
    </row>
    <row r="15" customFormat="false" ht="15" hidden="false" customHeight="false" outlineLevel="0" collapsed="false">
      <c r="A15" s="4" t="str">
        <f aca="false">Datos!A12</f>
        <v>Nov</v>
      </c>
      <c r="B15" s="4" t="s">
        <v>103</v>
      </c>
      <c r="C15" s="22" t="n">
        <f aca="false">AVERAGE($C$8:$C$10)*(1+$E$2)^5</f>
        <v>828.9463268295</v>
      </c>
      <c r="D15" s="23" t="n">
        <f aca="false">AVERAGE($D$8:$D$10)*(1+$G$2)</f>
        <v>96.6933333333333</v>
      </c>
      <c r="E15" s="4" t="n">
        <f aca="false">C15*D15</f>
        <v>80153.5834955671</v>
      </c>
      <c r="F15" s="23" t="n">
        <f aca="false">AVERAGE($F$8:$F$10)*(1+$I$2)</f>
        <v>43.68</v>
      </c>
      <c r="G15" s="4" t="n">
        <f aca="false">C15*F15</f>
        <v>36208.3755559126</v>
      </c>
      <c r="H15" s="4" t="n">
        <f aca="false">AVERAGE($H$8:$H$10)</f>
        <v>46933.3333333333</v>
      </c>
      <c r="I15" s="4" t="n">
        <f aca="false">E15-G15-H15</f>
        <v>-2988.12539367878</v>
      </c>
      <c r="J15" s="4" t="n">
        <f aca="false">E15*O15+E14*(1-O14)</f>
        <v>80598.8811816536</v>
      </c>
      <c r="K15" s="4" t="n">
        <f aca="false">G15+H15</f>
        <v>83141.7088892459</v>
      </c>
      <c r="L15" s="4" t="n">
        <f aca="false">J15-K15</f>
        <v>-2542.8277075923</v>
      </c>
      <c r="M15" s="4" t="n">
        <f aca="false">M14+L15</f>
        <v>64478.87638497</v>
      </c>
      <c r="N15" s="4" t="str">
        <f aca="false">IF(M15&lt;Supuestos!$B$4,"ALERTA","OK")</f>
        <v>ALERTA</v>
      </c>
      <c r="O15" s="24" t="n">
        <f aca="false">$K$2</f>
        <v>0.45</v>
      </c>
    </row>
    <row r="16" customFormat="false" ht="15" hidden="false" customHeight="false" outlineLevel="0" collapsed="false">
      <c r="A16" s="4" t="str">
        <f aca="false">Datos!A13</f>
        <v>Dic</v>
      </c>
      <c r="B16" s="4" t="s">
        <v>103</v>
      </c>
      <c r="C16" s="22" t="n">
        <f aca="false">AVERAGE($C$8:$C$10)*(1+$E$2)^6</f>
        <v>820.656863561205</v>
      </c>
      <c r="D16" s="23" t="n">
        <f aca="false">AVERAGE($D$8:$D$10)*(1+$G$2)</f>
        <v>96.6933333333333</v>
      </c>
      <c r="E16" s="4" t="n">
        <f aca="false">C16*D16</f>
        <v>79352.0476606115</v>
      </c>
      <c r="F16" s="23" t="n">
        <f aca="false">AVERAGE($F$8:$F$10)*(1+$I$2)</f>
        <v>43.68</v>
      </c>
      <c r="G16" s="4" t="n">
        <f aca="false">C16*F16</f>
        <v>35846.2918003534</v>
      </c>
      <c r="H16" s="4" t="n">
        <f aca="false">AVERAGE($H$8:$H$10)</f>
        <v>46933.3333333333</v>
      </c>
      <c r="I16" s="4" t="n">
        <f aca="false">E16-G16-H16</f>
        <v>-3427.57747307532</v>
      </c>
      <c r="J16" s="4" t="n">
        <f aca="false">E16*O16+E15*(1-O15)</f>
        <v>79792.8923698371</v>
      </c>
      <c r="K16" s="4" t="n">
        <f aca="false">G16+H16</f>
        <v>82779.6251336868</v>
      </c>
      <c r="L16" s="4" t="n">
        <f aca="false">J16-K16</f>
        <v>-2986.73276384971</v>
      </c>
      <c r="M16" s="4" t="n">
        <f aca="false">M15+L16</f>
        <v>61492.1436211203</v>
      </c>
      <c r="N16" s="4" t="str">
        <f aca="false">IF(M16&lt;Supuestos!$B$4,"ALERTA","OK")</f>
        <v>ALERTA</v>
      </c>
      <c r="O16" s="24" t="n">
        <f aca="false">$K$2</f>
        <v>0.45</v>
      </c>
    </row>
    <row r="17" customFormat="false" ht="15" hidden="false" customHeight="false" outlineLevel="0" collapsed="false">
      <c r="A17" s="1" t="s">
        <v>82</v>
      </c>
      <c r="E17" s="17" t="n">
        <f aca="false">SUM(E5:E16)</f>
        <v>1008073.48159947</v>
      </c>
      <c r="G17" s="17" t="n">
        <f aca="false">SUM(G5:G16)</f>
        <v>438437.71176501</v>
      </c>
      <c r="H17" s="17" t="n">
        <f aca="false">SUM(H5:H16)</f>
        <v>560500</v>
      </c>
      <c r="I17" s="17" t="n">
        <f aca="false">SUM(I5:I16)</f>
        <v>9135.76983445658</v>
      </c>
      <c r="J17" s="17" t="n">
        <f aca="false">SUM(J5:J16)</f>
        <v>1000429.85538613</v>
      </c>
      <c r="K17" s="17" t="n">
        <f aca="false">SUM(K5:K16)</f>
        <v>998937.71176501</v>
      </c>
      <c r="L17" s="17" t="n">
        <f aca="false">SUM(L5:L16)</f>
        <v>1492.1436211203</v>
      </c>
    </row>
    <row r="19" customFormat="false" ht="15" hidden="false" customHeight="false" outlineLevel="0" collapsed="false">
      <c r="A19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2026-10-23T17:08:36Z</dcterms:created>
  <dc:creator>openpyxl</dc:creator>
  <dc:description/>
  <dc:language>en-US</dc:language>
  <cp:lastModifiedBy/>
  <dcterms:modified xsi:type="dcterms:W3CDTF">2026-10-23T14:08:38Z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