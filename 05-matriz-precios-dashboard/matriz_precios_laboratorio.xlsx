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Matriz" sheetId="2" state="visible" r:id="rId4"/>
    <sheet name="Facturacion_demo" sheetId="3" state="visible" r:id="rId5"/>
    <sheet name="Dashboard_da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<sst xmlns="http://schemas.openxmlformats.org/spreadsheetml/2006/main" count="704" uniqueCount="121">
  <si>
    <t xml:space="preserve">Matriz de precios y dashboard de laboratorio: demo</t>
  </si>
  <si>
    <t xml:space="preserve">Qué es</t>
  </si>
  <si>
    <t xml:space="preserve">Archivo de demostración para un portafolio de pricing. Muestra una matriz de servicios con tarifa, costo, margen, referencias de precio y desviación, y los datos que alimentan un dashboard de facturación.</t>
  </si>
  <si>
    <t xml:space="preserve">Qué es real y qué es inventado</t>
  </si>
  <si>
    <t xml:space="preserve">Real: los nombres de los exámenes y su precio (columna Tarifa), tomados del cotizador de Elite Lab, https://www.elitelab.ec/cotizador.html, consultado el 19 de octubre de 2026. Es una muestra de 59 exámenes, no el catálogo completo.</t>
  </si>
  <si>
    <t xml:space="preserve">Inventado: costos, precios de referencia (Referencia 1, 2 y 3) y todos los datos de facturación por hospital y especialidad. Los hospitales no existen.</t>
  </si>
  <si>
    <t xml:space="preserve">Hojas</t>
  </si>
  <si>
    <t xml:space="preserve">Matriz: servicio, tarifa, costo, margen, indicador de rango, 3 referencias de precio, promedio y desviación.</t>
  </si>
  <si>
    <t xml:space="preserve">Facturacion_demo: datos ficticios de facturación y costo por hospital, mes y especialidad.</t>
  </si>
  <si>
    <t xml:space="preserve">Dashboard_datos: tablas calculadas con fórmulas que alimentan el dashboard (dashboard_laboratorio.png).</t>
  </si>
  <si>
    <t xml:space="preserve">Fórmulas</t>
  </si>
  <si>
    <t xml:space="preserve">Margen = (Tarifa - Costo) / Tarifa.</t>
  </si>
  <si>
    <t xml:space="preserve">Indicador: Margen entre el 10% y 30%, entre el 30% y 50%, entre el 50% y 70%, o mayor al 70% (los márgenes llegan hasta 75%).</t>
  </si>
  <si>
    <t xml:space="preserve">Desviación del promedio de referencias vs. tarifa = (Promedio de referencias - Tarifa) / Tarifa. Positivo: el mercado cobra más que la tarifa. Negativo: cobra menos.</t>
  </si>
  <si>
    <t xml:space="preserve">Colores</t>
  </si>
  <si>
    <t xml:space="preserve">Texto azul: dato de entrada. Texto negro: fórmula. Texto verde: fórmula que toma datos de otra hoja.</t>
  </si>
  <si>
    <t xml:space="preserve">Matriz de precios de laboratorio (demo)</t>
  </si>
  <si>
    <t xml:space="preserve">Tarifa: precios reales del cotizador de Elite Lab (elitelab.ec/cotizador.html), consultado el 19-oct-2026. Costos y referencias de precio: inventados.</t>
  </si>
  <si>
    <t xml:space="preserve">Nombre del servicio</t>
  </si>
  <si>
    <t xml:space="preserve">Tarifa (USD)</t>
  </si>
  <si>
    <t xml:space="preserve">Costo (USD)</t>
  </si>
  <si>
    <t xml:space="preserve">Margen</t>
  </si>
  <si>
    <t xml:space="preserve">Indicador de margen</t>
  </si>
  <si>
    <t xml:space="preserve">Referencia 1 (USD)</t>
  </si>
  <si>
    <t xml:space="preserve">Referencia 2 (USD)</t>
  </si>
  <si>
    <t xml:space="preserve">Referencia 3 (USD)</t>
  </si>
  <si>
    <t xml:space="preserve">Promedio de referencias (USD)</t>
  </si>
  <si>
    <t xml:space="preserve">Desviación del promedio vs. tarifa</t>
  </si>
  <si>
    <t xml:space="preserve">Hemograma Completo</t>
  </si>
  <si>
    <t xml:space="preserve">Glucosa</t>
  </si>
  <si>
    <t xml:space="preserve">Glucosa - post prandial</t>
  </si>
  <si>
    <t xml:space="preserve">Colesterol Total</t>
  </si>
  <si>
    <t xml:space="preserve">Colesterol VLDL</t>
  </si>
  <si>
    <t xml:space="preserve">Triglicéridos</t>
  </si>
  <si>
    <t xml:space="preserve">HDL-LDL Colesterol</t>
  </si>
  <si>
    <t xml:space="preserve">Creatinina</t>
  </si>
  <si>
    <t xml:space="preserve">Urea</t>
  </si>
  <si>
    <t xml:space="preserve">Ácido Úrico</t>
  </si>
  <si>
    <t xml:space="preserve">TSH</t>
  </si>
  <si>
    <t xml:space="preserve">T4 total</t>
  </si>
  <si>
    <t xml:space="preserve">T3 total</t>
  </si>
  <si>
    <t xml:space="preserve">Hemoglobina glicosilada</t>
  </si>
  <si>
    <t xml:space="preserve">PCR cuantitativo</t>
  </si>
  <si>
    <t xml:space="preserve">VSG - Eritrosedimentación</t>
  </si>
  <si>
    <t xml:space="preserve">HBs Ag (hepatitis B)</t>
  </si>
  <si>
    <t xml:space="preserve">Anticuerpo hepatitis B</t>
  </si>
  <si>
    <t xml:space="preserve">VDRL</t>
  </si>
  <si>
    <t xml:space="preserve">ASTO (Antiestreptolisina O)</t>
  </si>
  <si>
    <t xml:space="preserve">Bilirrubinas</t>
  </si>
  <si>
    <t xml:space="preserve">Ferritina</t>
  </si>
  <si>
    <t xml:space="preserve">Hierro Sérico</t>
  </si>
  <si>
    <t xml:space="preserve">Vitamina D 25 Hidroxi</t>
  </si>
  <si>
    <t xml:space="preserve">Vitamina B12</t>
  </si>
  <si>
    <t xml:space="preserve">Ácido fólico</t>
  </si>
  <si>
    <t xml:space="preserve">Cortisol 4PM</t>
  </si>
  <si>
    <t xml:space="preserve">Insulina</t>
  </si>
  <si>
    <t xml:space="preserve">Prolactina</t>
  </si>
  <si>
    <t xml:space="preserve">Progesterona</t>
  </si>
  <si>
    <t xml:space="preserve">FSH</t>
  </si>
  <si>
    <t xml:space="preserve">17 beta estradiol</t>
  </si>
  <si>
    <t xml:space="preserve">17 Hidroxiprogesterona</t>
  </si>
  <si>
    <t xml:space="preserve">ACTH</t>
  </si>
  <si>
    <t xml:space="preserve">Aldosterona</t>
  </si>
  <si>
    <t xml:space="preserve">Ag. Prostático Específico</t>
  </si>
  <si>
    <t xml:space="preserve">Ácido Láctico</t>
  </si>
  <si>
    <t xml:space="preserve">Aldolasa</t>
  </si>
  <si>
    <t xml:space="preserve">Ac. Antitiroideos: Anti TPO-microsomales</t>
  </si>
  <si>
    <t xml:space="preserve">Ac. Antitiroideos: antitiroglobulina</t>
  </si>
  <si>
    <t xml:space="preserve">Ac. Anti Sarampión IgG</t>
  </si>
  <si>
    <t xml:space="preserve">Ac. Anti Sarampión IgM</t>
  </si>
  <si>
    <t xml:space="preserve">Ac. Anticardiolipina IgA</t>
  </si>
  <si>
    <t xml:space="preserve">Ac. Antimitocondriales</t>
  </si>
  <si>
    <t xml:space="preserve">Ac. Antimúsculo liso</t>
  </si>
  <si>
    <t xml:space="preserve">Ac. Endomisio IgA</t>
  </si>
  <si>
    <t xml:space="preserve">Ac. Gliadina IgG</t>
  </si>
  <si>
    <t xml:space="preserve">Ac. IgG Tuberculosis</t>
  </si>
  <si>
    <t xml:space="preserve">Ac. Valproico</t>
  </si>
  <si>
    <t xml:space="preserve">Adenovirus</t>
  </si>
  <si>
    <t xml:space="preserve">Alfa 2 microglobulina</t>
  </si>
  <si>
    <t xml:space="preserve">Alfa I antitripsina</t>
  </si>
  <si>
    <t xml:space="preserve">Ácido vanilmandélico</t>
  </si>
  <si>
    <t xml:space="preserve">Ac. Anti-células Parietales Gástricas</t>
  </si>
  <si>
    <t xml:space="preserve">Ac. Antifosfolipidos IgG/IgM</t>
  </si>
  <si>
    <t xml:space="preserve">Ac. Anti-nucleares ANA 23 Ag</t>
  </si>
  <si>
    <t xml:space="preserve">Ac. Anti Gangliósidos IgG</t>
  </si>
  <si>
    <t xml:space="preserve">IGRA Quantiferon (TB)</t>
  </si>
  <si>
    <t xml:space="preserve">Ácido Fólico Eritrocitario</t>
  </si>
  <si>
    <t xml:space="preserve">Facturación y costo por hospital, mes y especialidad (datos ficticios, USD)</t>
  </si>
  <si>
    <t xml:space="preserve">Hospital</t>
  </si>
  <si>
    <t xml:space="preserve">Mes</t>
  </si>
  <si>
    <t xml:space="preserve">Especialidad</t>
  </si>
  <si>
    <t xml:space="preserve">Facturación (USD)</t>
  </si>
  <si>
    <t xml:space="preserve">Hospital Norte</t>
  </si>
  <si>
    <t xml:space="preserve">Laboratorio</t>
  </si>
  <si>
    <t xml:space="preserve">Imagenología</t>
  </si>
  <si>
    <t xml:space="preserve">Emergencia</t>
  </si>
  <si>
    <t xml:space="preserve">Cirugía</t>
  </si>
  <si>
    <t xml:space="preserve">Consulta externa</t>
  </si>
  <si>
    <t xml:space="preserve">Hospitalización</t>
  </si>
  <si>
    <t xml:space="preserve">Hospital Sur</t>
  </si>
  <si>
    <t xml:space="preserve">Hospital Centro</t>
  </si>
  <si>
    <t xml:space="preserve">Hospital Este</t>
  </si>
  <si>
    <t xml:space="preserve">Datos del dashboard (fórmulas sobre Facturacion_demo)</t>
  </si>
  <si>
    <t xml:space="preserve">1. Facturación mensual por hospital (USD)</t>
  </si>
  <si>
    <t xml:space="preserve">Total</t>
  </si>
  <si>
    <t xml:space="preserve">Total año</t>
  </si>
  <si>
    <t xml:space="preserve">2. Facturación y margen por especialidad</t>
  </si>
  <si>
    <t xml:space="preserve">% de la facturación</t>
  </si>
  <si>
    <t xml:space="preserve">3. KPIs</t>
  </si>
  <si>
    <t xml:space="preserve">Indicador</t>
  </si>
  <si>
    <t xml:space="preserve">Valor</t>
  </si>
  <si>
    <t xml:space="preserve">Facturación total del año (USD)</t>
  </si>
  <si>
    <t xml:space="preserve">Costo total del año (USD)</t>
  </si>
  <si>
    <t xml:space="preserve">Margen global</t>
  </si>
  <si>
    <t xml:space="preserve">Facturación de diciembre (USD)</t>
  </si>
  <si>
    <t xml:space="preserve">Variación diciembre vs. noviembre</t>
  </si>
  <si>
    <t xml:space="preserve">Hospital con mayor facturación</t>
  </si>
  <si>
    <t xml:space="preserve">Peso de ese hospital en el total</t>
  </si>
  <si>
    <t xml:space="preserve">Especialidad con mayor facturación</t>
  </si>
  <si>
    <t xml:space="preserve">Especialidad con mayor margen</t>
  </si>
  <si>
    <t xml:space="preserve">Margen de esa especialidad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</si>
</sst>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%"/>
    <numFmt numFmtId="167" formatCode="mmm\-yy"/>
    <numFmt numFmtId="168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B2F2F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C4"/>
      </left>
      <right style="thin">
        <color rgb="FFD9CFC4"/>
      </right>
      <top style="thin">
        <color rgb="FFD9CFC4"/>
      </top>
      <bottom style="thin">
        <color rgb="FFD9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4C7B8"/>
        </patternFill>
      </fill>
    </dxf>
    <dxf>
      <fill>
        <patternFill>
          <bgColor rgb="FFFCE8B2"/>
        </patternFill>
      </fill>
    </dxf>
    <dxf>
      <fill>
        <patternFill>
          <bgColor rgb="FFD5E8D4"/>
        </patternFill>
      </fill>
    </dxf>
    <dxf>
      <fill>
        <patternFill>
          <bgColor rgb="FFB7D7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FC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7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CE8B2"/>
      <rgbColor rgb="FF99CCFF"/>
      <rgbColor rgb="FFFF99CC"/>
      <rgbColor rgb="FFCC99FF"/>
      <rgbColor rgb="FFF4C7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2" t="s">
        <v>3</v>
      </c>
    </row>
    <row r="7" customFormat="false" ht="23.8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23.8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28"/>
    <col collapsed="false" customWidth="true" hidden="false" outlineLevel="0" max="8" min="6" style="0" width="14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4" t="s">
        <v>17</v>
      </c>
    </row>
    <row r="4" customFormat="false" ht="43.5" hidden="false" customHeight="tru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</row>
    <row r="5" customFormat="false" ht="15" hidden="false" customHeight="false" outlineLevel="0" collapsed="false">
      <c r="A5" s="6" t="s">
        <v>28</v>
      </c>
      <c r="B5" s="7" t="n">
        <v>9</v>
      </c>
      <c r="C5" s="7" t="n">
        <v>5.3</v>
      </c>
      <c r="D5" s="8" t="n">
        <f aca="false">(B5-C5)/B5</f>
        <v>0.411111111111111</v>
      </c>
      <c r="E5" s="9" t="str">
        <f aca="false">IF(D5&lt;0.3,"Margen entre el 10% y 30%",IF(D5&lt;0.5,"Margen entre el 30% y 50%",IF(D5&lt;0.7,"Margen entre el 50% y 70%","Margen mayor al 70%")))</f>
        <v>Margen entre el 30% y 50%</v>
      </c>
      <c r="F5" s="7" t="n">
        <v>11.76</v>
      </c>
      <c r="G5" s="7" t="n">
        <v>9.41</v>
      </c>
      <c r="H5" s="7" t="n">
        <v>9.63</v>
      </c>
      <c r="I5" s="10" t="n">
        <f aca="false">AVERAGE(F5:H5)</f>
        <v>10.2666666666667</v>
      </c>
      <c r="J5" s="8" t="n">
        <f aca="false">(I5-B5)/B5</f>
        <v>0.140740740740741</v>
      </c>
    </row>
    <row r="6" customFormat="false" ht="15" hidden="false" customHeight="false" outlineLevel="0" collapsed="false">
      <c r="A6" s="6" t="s">
        <v>29</v>
      </c>
      <c r="B6" s="7" t="n">
        <v>3</v>
      </c>
      <c r="C6" s="7" t="n">
        <v>1.97</v>
      </c>
      <c r="D6" s="8" t="n">
        <f aca="false">(B6-C6)/B6</f>
        <v>0.343333333333333</v>
      </c>
      <c r="E6" s="9" t="str">
        <f aca="false">IF(D6&lt;0.3,"Margen entre el 10% y 30%",IF(D6&lt;0.5,"Margen entre el 30% y 50%",IF(D6&lt;0.7,"Margen entre el 50% y 70%","Margen mayor al 70%")))</f>
        <v>Margen entre el 30% y 50%</v>
      </c>
      <c r="F6" s="7" t="n">
        <v>3.22</v>
      </c>
      <c r="G6" s="7" t="n">
        <v>3.42</v>
      </c>
      <c r="H6" s="7" t="n">
        <v>3.7</v>
      </c>
      <c r="I6" s="10" t="n">
        <f aca="false">AVERAGE(F6:H6)</f>
        <v>3.44666666666667</v>
      </c>
      <c r="J6" s="8" t="n">
        <f aca="false">(I6-B6)/B6</f>
        <v>0.148888888888889</v>
      </c>
    </row>
    <row r="7" customFormat="false" ht="15" hidden="false" customHeight="false" outlineLevel="0" collapsed="false">
      <c r="A7" s="6" t="s">
        <v>30</v>
      </c>
      <c r="B7" s="7" t="n">
        <v>6.6</v>
      </c>
      <c r="C7" s="7" t="n">
        <v>5.47</v>
      </c>
      <c r="D7" s="8" t="n">
        <f aca="false">(B7-C7)/B7</f>
        <v>0.171212121212121</v>
      </c>
      <c r="E7" s="9" t="str">
        <f aca="false">IF(D7&lt;0.3,"Margen entre el 10% y 30%",IF(D7&lt;0.5,"Margen entre el 30% y 50%",IF(D7&lt;0.7,"Margen entre el 50% y 70%","Margen mayor al 70%")))</f>
        <v>Margen entre el 10% y 30%</v>
      </c>
      <c r="F7" s="7" t="n">
        <v>5.49</v>
      </c>
      <c r="G7" s="7" t="n">
        <v>8.19</v>
      </c>
      <c r="H7" s="7" t="n">
        <v>7.76</v>
      </c>
      <c r="I7" s="10" t="n">
        <f aca="false">AVERAGE(F7:H7)</f>
        <v>7.14666666666667</v>
      </c>
      <c r="J7" s="8" t="n">
        <f aca="false">(I7-B7)/B7</f>
        <v>0.0828282828282827</v>
      </c>
    </row>
    <row r="8" customFormat="false" ht="15" hidden="false" customHeight="false" outlineLevel="0" collapsed="false">
      <c r="A8" s="6" t="s">
        <v>31</v>
      </c>
      <c r="B8" s="7" t="n">
        <v>3</v>
      </c>
      <c r="C8" s="7" t="n">
        <v>2.14</v>
      </c>
      <c r="D8" s="8" t="n">
        <f aca="false">(B8-C8)/B8</f>
        <v>0.286666666666667</v>
      </c>
      <c r="E8" s="9" t="str">
        <f aca="false">IF(D8&lt;0.3,"Margen entre el 10% y 30%",IF(D8&lt;0.5,"Margen entre el 30% y 50%",IF(D8&lt;0.7,"Margen entre el 50% y 70%","Margen mayor al 70%")))</f>
        <v>Margen entre el 10% y 30%</v>
      </c>
      <c r="F8" s="7" t="n">
        <v>3.99</v>
      </c>
      <c r="G8" s="7" t="n">
        <v>3.46</v>
      </c>
      <c r="H8" s="7" t="n">
        <v>3.39</v>
      </c>
      <c r="I8" s="10" t="n">
        <f aca="false">AVERAGE(F8:H8)</f>
        <v>3.61333333333333</v>
      </c>
      <c r="J8" s="8" t="n">
        <f aca="false">(I8-B8)/B8</f>
        <v>0.204444444444444</v>
      </c>
    </row>
    <row r="9" customFormat="false" ht="15" hidden="false" customHeight="false" outlineLevel="0" collapsed="false">
      <c r="A9" s="6" t="s">
        <v>32</v>
      </c>
      <c r="B9" s="7" t="n">
        <v>3</v>
      </c>
      <c r="C9" s="7" t="n">
        <v>2.63</v>
      </c>
      <c r="D9" s="8" t="n">
        <f aca="false">(B9-C9)/B9</f>
        <v>0.123333333333333</v>
      </c>
      <c r="E9" s="9" t="str">
        <f aca="false">IF(D9&lt;0.3,"Margen entre el 10% y 30%",IF(D9&lt;0.5,"Margen entre el 30% y 50%",IF(D9&lt;0.7,"Margen entre el 50% y 70%","Margen mayor al 70%")))</f>
        <v>Margen entre el 10% y 30%</v>
      </c>
      <c r="F9" s="7" t="n">
        <v>3.24</v>
      </c>
      <c r="G9" s="7" t="n">
        <v>2.44</v>
      </c>
      <c r="H9" s="7" t="n">
        <v>2.67</v>
      </c>
      <c r="I9" s="10" t="n">
        <f aca="false">AVERAGE(F9:H9)</f>
        <v>2.78333333333333</v>
      </c>
      <c r="J9" s="8" t="n">
        <f aca="false">(I9-B9)/B9</f>
        <v>-0.0722222222222223</v>
      </c>
    </row>
    <row r="10" customFormat="false" ht="15" hidden="false" customHeight="false" outlineLevel="0" collapsed="false">
      <c r="A10" s="6" t="s">
        <v>33</v>
      </c>
      <c r="B10" s="7" t="n">
        <v>3</v>
      </c>
      <c r="C10" s="7" t="n">
        <v>2.62</v>
      </c>
      <c r="D10" s="8" t="n">
        <f aca="false">(B10-C10)/B10</f>
        <v>0.126666666666667</v>
      </c>
      <c r="E10" s="9" t="str">
        <f aca="false">IF(D10&lt;0.3,"Margen entre el 10% y 30%",IF(D10&lt;0.5,"Margen entre el 30% y 50%",IF(D10&lt;0.7,"Margen entre el 50% y 70%","Margen mayor al 70%")))</f>
        <v>Margen entre el 10% y 30%</v>
      </c>
      <c r="F10" s="7" t="n">
        <v>3.13</v>
      </c>
      <c r="G10" s="7" t="n">
        <v>3.09</v>
      </c>
      <c r="H10" s="7" t="n">
        <v>3.78</v>
      </c>
      <c r="I10" s="10" t="n">
        <f aca="false">AVERAGE(F10:H10)</f>
        <v>3.33333333333333</v>
      </c>
      <c r="J10" s="8" t="n">
        <f aca="false">(I10-B10)/B10</f>
        <v>0.111111111111111</v>
      </c>
    </row>
    <row r="11" customFormat="false" ht="15" hidden="false" customHeight="false" outlineLevel="0" collapsed="false">
      <c r="A11" s="6" t="s">
        <v>34</v>
      </c>
      <c r="B11" s="7" t="n">
        <v>8</v>
      </c>
      <c r="C11" s="7" t="n">
        <v>4.6</v>
      </c>
      <c r="D11" s="8" t="n">
        <f aca="false">(B11-C11)/B11</f>
        <v>0.425</v>
      </c>
      <c r="E11" s="9" t="str">
        <f aca="false">IF(D11&lt;0.3,"Margen entre el 10% y 30%",IF(D11&lt;0.5,"Margen entre el 30% y 50%",IF(D11&lt;0.7,"Margen entre el 50% y 70%","Margen mayor al 70%")))</f>
        <v>Margen entre el 30% y 50%</v>
      </c>
      <c r="F11" s="7" t="n">
        <v>8.52</v>
      </c>
      <c r="G11" s="7" t="n">
        <v>9.26</v>
      </c>
      <c r="H11" s="7" t="n">
        <v>8.33</v>
      </c>
      <c r="I11" s="10" t="n">
        <f aca="false">AVERAGE(F11:H11)</f>
        <v>8.70333333333333</v>
      </c>
      <c r="J11" s="8" t="n">
        <f aca="false">(I11-B11)/B11</f>
        <v>0.0879166666666666</v>
      </c>
    </row>
    <row r="12" customFormat="false" ht="15" hidden="false" customHeight="false" outlineLevel="0" collapsed="false">
      <c r="A12" s="6" t="s">
        <v>35</v>
      </c>
      <c r="B12" s="7" t="n">
        <v>3</v>
      </c>
      <c r="C12" s="7" t="n">
        <v>2.13</v>
      </c>
      <c r="D12" s="8" t="n">
        <f aca="false">(B12-C12)/B12</f>
        <v>0.29</v>
      </c>
      <c r="E12" s="9" t="str">
        <f aca="false">IF(D12&lt;0.3,"Margen entre el 10% y 30%",IF(D12&lt;0.5,"Margen entre el 30% y 50%",IF(D12&lt;0.7,"Margen entre el 50% y 70%","Margen mayor al 70%")))</f>
        <v>Margen entre el 10% y 30%</v>
      </c>
      <c r="F12" s="7" t="n">
        <v>4.04</v>
      </c>
      <c r="G12" s="7" t="n">
        <v>3.78</v>
      </c>
      <c r="H12" s="7" t="n">
        <v>3.55</v>
      </c>
      <c r="I12" s="10" t="n">
        <f aca="false">AVERAGE(F12:H12)</f>
        <v>3.79</v>
      </c>
      <c r="J12" s="8" t="n">
        <f aca="false">(I12-B12)/B12</f>
        <v>0.263333333333333</v>
      </c>
    </row>
    <row r="13" customFormat="false" ht="15" hidden="false" customHeight="false" outlineLevel="0" collapsed="false">
      <c r="A13" s="6" t="s">
        <v>36</v>
      </c>
      <c r="B13" s="7" t="n">
        <v>3</v>
      </c>
      <c r="C13" s="7" t="n">
        <v>1.95</v>
      </c>
      <c r="D13" s="8" t="n">
        <f aca="false">(B13-C13)/B13</f>
        <v>0.35</v>
      </c>
      <c r="E13" s="9" t="str">
        <f aca="false">IF(D13&lt;0.3,"Margen entre el 10% y 30%",IF(D13&lt;0.5,"Margen entre el 30% y 50%",IF(D13&lt;0.7,"Margen entre el 50% y 70%","Margen mayor al 70%")))</f>
        <v>Margen entre el 30% y 50%</v>
      </c>
      <c r="F13" s="7" t="n">
        <v>2.83</v>
      </c>
      <c r="G13" s="7" t="n">
        <v>2.46</v>
      </c>
      <c r="H13" s="7" t="n">
        <v>3.65</v>
      </c>
      <c r="I13" s="10" t="n">
        <f aca="false">AVERAGE(F13:H13)</f>
        <v>2.98</v>
      </c>
      <c r="J13" s="8" t="n">
        <f aca="false">(I13-B13)/B13</f>
        <v>-0.00666666666666667</v>
      </c>
    </row>
    <row r="14" customFormat="false" ht="15" hidden="false" customHeight="false" outlineLevel="0" collapsed="false">
      <c r="A14" s="6" t="s">
        <v>37</v>
      </c>
      <c r="B14" s="7" t="n">
        <v>3</v>
      </c>
      <c r="C14" s="7" t="n">
        <v>1.61</v>
      </c>
      <c r="D14" s="8" t="n">
        <f aca="false">(B14-C14)/B14</f>
        <v>0.463333333333333</v>
      </c>
      <c r="E14" s="9" t="str">
        <f aca="false">IF(D14&lt;0.3,"Margen entre el 10% y 30%",IF(D14&lt;0.5,"Margen entre el 30% y 50%",IF(D14&lt;0.7,"Margen entre el 50% y 70%","Margen mayor al 70%")))</f>
        <v>Margen entre el 30% y 50%</v>
      </c>
      <c r="F14" s="7" t="n">
        <v>3</v>
      </c>
      <c r="G14" s="7" t="n">
        <v>3.98</v>
      </c>
      <c r="H14" s="7" t="n">
        <v>3.79</v>
      </c>
      <c r="I14" s="10" t="n">
        <f aca="false">AVERAGE(F14:H14)</f>
        <v>3.59</v>
      </c>
      <c r="J14" s="8" t="n">
        <f aca="false">(I14-B14)/B14</f>
        <v>0.196666666666667</v>
      </c>
    </row>
    <row r="15" customFormat="false" ht="15" hidden="false" customHeight="false" outlineLevel="0" collapsed="false">
      <c r="A15" s="6" t="s">
        <v>38</v>
      </c>
      <c r="B15" s="7" t="n">
        <v>8</v>
      </c>
      <c r="C15" s="7" t="n">
        <v>6.75</v>
      </c>
      <c r="D15" s="8" t="n">
        <f aca="false">(B15-C15)/B15</f>
        <v>0.15625</v>
      </c>
      <c r="E15" s="9" t="str">
        <f aca="false">IF(D15&lt;0.3,"Margen entre el 10% y 30%",IF(D15&lt;0.5,"Margen entre el 30% y 50%",IF(D15&lt;0.7,"Margen entre el 50% y 70%","Margen mayor al 70%")))</f>
        <v>Margen entre el 10% y 30%</v>
      </c>
      <c r="F15" s="7" t="n">
        <v>10.39</v>
      </c>
      <c r="G15" s="7" t="n">
        <v>8.38</v>
      </c>
      <c r="H15" s="7" t="n">
        <v>10.71</v>
      </c>
      <c r="I15" s="10" t="n">
        <f aca="false">AVERAGE(F15:H15)</f>
        <v>9.82666666666667</v>
      </c>
      <c r="J15" s="8" t="n">
        <f aca="false">(I15-B15)/B15</f>
        <v>0.228333333333334</v>
      </c>
    </row>
    <row r="16" customFormat="false" ht="15" hidden="false" customHeight="false" outlineLevel="0" collapsed="false">
      <c r="A16" s="6" t="s">
        <v>39</v>
      </c>
      <c r="B16" s="7" t="n">
        <v>8</v>
      </c>
      <c r="C16" s="7" t="n">
        <v>5.41</v>
      </c>
      <c r="D16" s="8" t="n">
        <f aca="false">(B16-C16)/B16</f>
        <v>0.32375</v>
      </c>
      <c r="E16" s="9" t="str">
        <f aca="false">IF(D16&lt;0.3,"Margen entre el 10% y 30%",IF(D16&lt;0.5,"Margen entre el 30% y 50%",IF(D16&lt;0.7,"Margen entre el 50% y 70%","Margen mayor al 70%")))</f>
        <v>Margen entre el 30% y 50%</v>
      </c>
      <c r="F16" s="7" t="n">
        <v>9.11</v>
      </c>
      <c r="G16" s="7" t="n">
        <v>9.79</v>
      </c>
      <c r="H16" s="7" t="n">
        <v>7.47</v>
      </c>
      <c r="I16" s="10" t="n">
        <f aca="false">AVERAGE(F16:H16)</f>
        <v>8.79</v>
      </c>
      <c r="J16" s="8" t="n">
        <f aca="false">(I16-B16)/B16</f>
        <v>0.0987499999999999</v>
      </c>
    </row>
    <row r="17" customFormat="false" ht="15" hidden="false" customHeight="false" outlineLevel="0" collapsed="false">
      <c r="A17" s="6" t="s">
        <v>40</v>
      </c>
      <c r="B17" s="7" t="n">
        <v>8</v>
      </c>
      <c r="C17" s="7" t="n">
        <v>6.59</v>
      </c>
      <c r="D17" s="8" t="n">
        <f aca="false">(B17-C17)/B17</f>
        <v>0.17625</v>
      </c>
      <c r="E17" s="9" t="str">
        <f aca="false">IF(D17&lt;0.3,"Margen entre el 10% y 30%",IF(D17&lt;0.5,"Margen entre el 30% y 50%",IF(D17&lt;0.7,"Margen entre el 50% y 70%","Margen mayor al 70%")))</f>
        <v>Margen entre el 10% y 30%</v>
      </c>
      <c r="F17" s="7" t="n">
        <v>10.64</v>
      </c>
      <c r="G17" s="7" t="n">
        <v>9.7</v>
      </c>
      <c r="H17" s="7" t="n">
        <v>6.78</v>
      </c>
      <c r="I17" s="10" t="n">
        <f aca="false">AVERAGE(F17:H17)</f>
        <v>9.04</v>
      </c>
      <c r="J17" s="8" t="n">
        <f aca="false">(I17-B17)/B17</f>
        <v>0.13</v>
      </c>
    </row>
    <row r="18" customFormat="false" ht="15" hidden="false" customHeight="false" outlineLevel="0" collapsed="false">
      <c r="A18" s="6" t="s">
        <v>41</v>
      </c>
      <c r="B18" s="7" t="n">
        <v>12</v>
      </c>
      <c r="C18" s="7" t="n">
        <v>10.35</v>
      </c>
      <c r="D18" s="8" t="n">
        <f aca="false">(B18-C18)/B18</f>
        <v>0.1375</v>
      </c>
      <c r="E18" s="9" t="str">
        <f aca="false">IF(D18&lt;0.3,"Margen entre el 10% y 30%",IF(D18&lt;0.5,"Margen entre el 30% y 50%",IF(D18&lt;0.7,"Margen entre el 50% y 70%","Margen mayor al 70%")))</f>
        <v>Margen entre el 10% y 30%</v>
      </c>
      <c r="F18" s="7" t="n">
        <v>9.77</v>
      </c>
      <c r="G18" s="7" t="n">
        <v>14.81</v>
      </c>
      <c r="H18" s="7" t="n">
        <v>10.58</v>
      </c>
      <c r="I18" s="10" t="n">
        <f aca="false">AVERAGE(F18:H18)</f>
        <v>11.72</v>
      </c>
      <c r="J18" s="8" t="n">
        <f aca="false">(I18-B18)/B18</f>
        <v>-0.0233333333333334</v>
      </c>
    </row>
    <row r="19" customFormat="false" ht="15" hidden="false" customHeight="false" outlineLevel="0" collapsed="false">
      <c r="A19" s="6" t="s">
        <v>42</v>
      </c>
      <c r="B19" s="7" t="n">
        <v>4</v>
      </c>
      <c r="C19" s="7" t="n">
        <v>2.44</v>
      </c>
      <c r="D19" s="8" t="n">
        <f aca="false">(B19-C19)/B19</f>
        <v>0.39</v>
      </c>
      <c r="E19" s="9" t="str">
        <f aca="false">IF(D19&lt;0.3,"Margen entre el 10% y 30%",IF(D19&lt;0.5,"Margen entre el 30% y 50%",IF(D19&lt;0.7,"Margen entre el 50% y 70%","Margen mayor al 70%")))</f>
        <v>Margen entre el 30% y 50%</v>
      </c>
      <c r="F19" s="7" t="n">
        <v>3.55</v>
      </c>
      <c r="G19" s="7" t="n">
        <v>4.79</v>
      </c>
      <c r="H19" s="7" t="n">
        <v>3.42</v>
      </c>
      <c r="I19" s="10" t="n">
        <f aca="false">AVERAGE(F19:H19)</f>
        <v>3.92</v>
      </c>
      <c r="J19" s="8" t="n">
        <f aca="false">(I19-B19)/B19</f>
        <v>-0.02</v>
      </c>
    </row>
    <row r="20" customFormat="false" ht="15" hidden="false" customHeight="false" outlineLevel="0" collapsed="false">
      <c r="A20" s="6" t="s">
        <v>43</v>
      </c>
      <c r="B20" s="7" t="n">
        <v>2.5</v>
      </c>
      <c r="C20" s="7" t="n">
        <v>1.67</v>
      </c>
      <c r="D20" s="8" t="n">
        <f aca="false">(B20-C20)/B20</f>
        <v>0.332</v>
      </c>
      <c r="E20" s="9" t="str">
        <f aca="false">IF(D20&lt;0.3,"Margen entre el 10% y 30%",IF(D20&lt;0.5,"Margen entre el 30% y 50%",IF(D20&lt;0.7,"Margen entre el 50% y 70%","Margen mayor al 70%")))</f>
        <v>Margen entre el 30% y 50%</v>
      </c>
      <c r="F20" s="7" t="n">
        <v>2.55</v>
      </c>
      <c r="G20" s="7" t="n">
        <v>2.25</v>
      </c>
      <c r="H20" s="7" t="n">
        <v>2.33</v>
      </c>
      <c r="I20" s="10" t="n">
        <f aca="false">AVERAGE(F20:H20)</f>
        <v>2.37666666666667</v>
      </c>
      <c r="J20" s="8" t="n">
        <f aca="false">(I20-B20)/B20</f>
        <v>-0.0493333333333334</v>
      </c>
    </row>
    <row r="21" customFormat="false" ht="15" hidden="false" customHeight="false" outlineLevel="0" collapsed="false">
      <c r="A21" s="6" t="s">
        <v>44</v>
      </c>
      <c r="B21" s="7" t="n">
        <v>14</v>
      </c>
      <c r="C21" s="7" t="n">
        <v>3.72</v>
      </c>
      <c r="D21" s="8" t="n">
        <f aca="false">(B21-C21)/B21</f>
        <v>0.734285714285714</v>
      </c>
      <c r="E21" s="9" t="str">
        <f aca="false">IF(D21&lt;0.3,"Margen entre el 10% y 30%",IF(D21&lt;0.5,"Margen entre el 30% y 50%",IF(D21&lt;0.7,"Margen entre el 50% y 70%","Margen mayor al 70%")))</f>
        <v>Margen mayor al 70%</v>
      </c>
      <c r="F21" s="7" t="n">
        <v>13.35</v>
      </c>
      <c r="G21" s="7" t="n">
        <v>17.98</v>
      </c>
      <c r="H21" s="7" t="n">
        <v>12.6</v>
      </c>
      <c r="I21" s="10" t="n">
        <f aca="false">AVERAGE(F21:H21)</f>
        <v>14.6433333333333</v>
      </c>
      <c r="J21" s="8" t="n">
        <f aca="false">(I21-B21)/B21</f>
        <v>0.0459523809523809</v>
      </c>
    </row>
    <row r="22" customFormat="false" ht="15" hidden="false" customHeight="false" outlineLevel="0" collapsed="false">
      <c r="A22" s="6" t="s">
        <v>45</v>
      </c>
      <c r="B22" s="7" t="n">
        <v>13</v>
      </c>
      <c r="C22" s="7" t="n">
        <v>6.97</v>
      </c>
      <c r="D22" s="8" t="n">
        <f aca="false">(B22-C22)/B22</f>
        <v>0.463846153846154</v>
      </c>
      <c r="E22" s="9" t="str">
        <f aca="false">IF(D22&lt;0.3,"Margen entre el 10% y 30%",IF(D22&lt;0.5,"Margen entre el 30% y 50%",IF(D22&lt;0.7,"Margen entre el 50% y 70%","Margen mayor al 70%")))</f>
        <v>Margen entre el 30% y 50%</v>
      </c>
      <c r="F22" s="7" t="n">
        <v>14.9</v>
      </c>
      <c r="G22" s="7" t="n">
        <v>10.88</v>
      </c>
      <c r="H22" s="7" t="n">
        <v>17.47</v>
      </c>
      <c r="I22" s="10" t="n">
        <f aca="false">AVERAGE(F22:H22)</f>
        <v>14.4166666666667</v>
      </c>
      <c r="J22" s="8" t="n">
        <f aca="false">(I22-B22)/B22</f>
        <v>0.108974358974359</v>
      </c>
    </row>
    <row r="23" customFormat="false" ht="15" hidden="false" customHeight="false" outlineLevel="0" collapsed="false">
      <c r="A23" s="6" t="s">
        <v>46</v>
      </c>
      <c r="B23" s="7" t="n">
        <v>5</v>
      </c>
      <c r="C23" s="7" t="n">
        <v>4.18</v>
      </c>
      <c r="D23" s="8" t="n">
        <f aca="false">(B23-C23)/B23</f>
        <v>0.164</v>
      </c>
      <c r="E23" s="9" t="str">
        <f aca="false">IF(D23&lt;0.3,"Margen entre el 10% y 30%",IF(D23&lt;0.5,"Margen entre el 30% y 50%",IF(D23&lt;0.7,"Margen entre el 50% y 70%","Margen mayor al 70%")))</f>
        <v>Margen entre el 10% y 30%</v>
      </c>
      <c r="F23" s="7" t="n">
        <v>6.1</v>
      </c>
      <c r="G23" s="7" t="n">
        <v>4.84</v>
      </c>
      <c r="H23" s="7" t="n">
        <v>4.74</v>
      </c>
      <c r="I23" s="10" t="n">
        <f aca="false">AVERAGE(F23:H23)</f>
        <v>5.22666666666667</v>
      </c>
      <c r="J23" s="8" t="n">
        <f aca="false">(I23-B23)/B23</f>
        <v>0.0453333333333333</v>
      </c>
    </row>
    <row r="24" customFormat="false" ht="15" hidden="false" customHeight="false" outlineLevel="0" collapsed="false">
      <c r="A24" s="6" t="s">
        <v>47</v>
      </c>
      <c r="B24" s="7" t="n">
        <v>6</v>
      </c>
      <c r="C24" s="7" t="n">
        <v>5.19</v>
      </c>
      <c r="D24" s="8" t="n">
        <f aca="false">(B24-C24)/B24</f>
        <v>0.135</v>
      </c>
      <c r="E24" s="9" t="str">
        <f aca="false">IF(D24&lt;0.3,"Margen entre el 10% y 30%",IF(D24&lt;0.5,"Margen entre el 30% y 50%",IF(D24&lt;0.7,"Margen entre el 50% y 70%","Margen mayor al 70%")))</f>
        <v>Margen entre el 10% y 30%</v>
      </c>
      <c r="F24" s="7" t="n">
        <v>6.67</v>
      </c>
      <c r="G24" s="7" t="n">
        <v>5.51</v>
      </c>
      <c r="H24" s="7" t="n">
        <v>6.74</v>
      </c>
      <c r="I24" s="10" t="n">
        <f aca="false">AVERAGE(F24:H24)</f>
        <v>6.30666666666667</v>
      </c>
      <c r="J24" s="8" t="n">
        <f aca="false">(I24-B24)/B24</f>
        <v>0.0511111111111113</v>
      </c>
    </row>
    <row r="25" customFormat="false" ht="15" hidden="false" customHeight="false" outlineLevel="0" collapsed="false">
      <c r="A25" s="6" t="s">
        <v>48</v>
      </c>
      <c r="B25" s="7" t="n">
        <v>5</v>
      </c>
      <c r="C25" s="7" t="n">
        <v>3.04</v>
      </c>
      <c r="D25" s="8" t="n">
        <f aca="false">(B25-C25)/B25</f>
        <v>0.392</v>
      </c>
      <c r="E25" s="9" t="str">
        <f aca="false">IF(D25&lt;0.3,"Margen entre el 10% y 30%",IF(D25&lt;0.5,"Margen entre el 30% y 50%",IF(D25&lt;0.7,"Margen entre el 50% y 70%","Margen mayor al 70%")))</f>
        <v>Margen entre el 30% y 50%</v>
      </c>
      <c r="F25" s="7" t="n">
        <v>6.63</v>
      </c>
      <c r="G25" s="7" t="n">
        <v>5.28</v>
      </c>
      <c r="H25" s="7" t="n">
        <v>5.54</v>
      </c>
      <c r="I25" s="10" t="n">
        <f aca="false">AVERAGE(F25:H25)</f>
        <v>5.81666666666667</v>
      </c>
      <c r="J25" s="8" t="n">
        <f aca="false">(I25-B25)/B25</f>
        <v>0.163333333333333</v>
      </c>
    </row>
    <row r="26" customFormat="false" ht="15" hidden="false" customHeight="false" outlineLevel="0" collapsed="false">
      <c r="A26" s="6" t="s">
        <v>49</v>
      </c>
      <c r="B26" s="7" t="n">
        <v>10.5</v>
      </c>
      <c r="C26" s="7" t="n">
        <v>4.8</v>
      </c>
      <c r="D26" s="8" t="n">
        <f aca="false">(B26-C26)/B26</f>
        <v>0.542857142857143</v>
      </c>
      <c r="E26" s="9" t="str">
        <f aca="false">IF(D26&lt;0.3,"Margen entre el 10% y 30%",IF(D26&lt;0.5,"Margen entre el 30% y 50%",IF(D26&lt;0.7,"Margen entre el 50% y 70%","Margen mayor al 70%")))</f>
        <v>Margen entre el 50% y 70%</v>
      </c>
      <c r="F26" s="7" t="n">
        <v>9.11</v>
      </c>
      <c r="G26" s="7" t="n">
        <v>13.63</v>
      </c>
      <c r="H26" s="7" t="n">
        <v>13.08</v>
      </c>
      <c r="I26" s="10" t="n">
        <f aca="false">AVERAGE(F26:H26)</f>
        <v>11.94</v>
      </c>
      <c r="J26" s="8" t="n">
        <f aca="false">(I26-B26)/B26</f>
        <v>0.137142857142857</v>
      </c>
    </row>
    <row r="27" customFormat="false" ht="15" hidden="false" customHeight="false" outlineLevel="0" collapsed="false">
      <c r="A27" s="6" t="s">
        <v>50</v>
      </c>
      <c r="B27" s="7" t="n">
        <v>5.5</v>
      </c>
      <c r="C27" s="7" t="n">
        <v>4.66</v>
      </c>
      <c r="D27" s="8" t="n">
        <f aca="false">(B27-C27)/B27</f>
        <v>0.152727272727273</v>
      </c>
      <c r="E27" s="9" t="str">
        <f aca="false">IF(D27&lt;0.3,"Margen entre el 10% y 30%",IF(D27&lt;0.5,"Margen entre el 30% y 50%",IF(D27&lt;0.7,"Margen entre el 50% y 70%","Margen mayor al 70%")))</f>
        <v>Margen entre el 10% y 30%</v>
      </c>
      <c r="F27" s="7" t="n">
        <v>6.61</v>
      </c>
      <c r="G27" s="7" t="n">
        <v>7.24</v>
      </c>
      <c r="H27" s="7" t="n">
        <v>4.91</v>
      </c>
      <c r="I27" s="10" t="n">
        <f aca="false">AVERAGE(F27:H27)</f>
        <v>6.25333333333333</v>
      </c>
      <c r="J27" s="8" t="n">
        <f aca="false">(I27-B27)/B27</f>
        <v>0.136969696969697</v>
      </c>
    </row>
    <row r="28" customFormat="false" ht="15" hidden="false" customHeight="false" outlineLevel="0" collapsed="false">
      <c r="A28" s="6" t="s">
        <v>51</v>
      </c>
      <c r="B28" s="7" t="n">
        <v>32</v>
      </c>
      <c r="C28" s="7" t="n">
        <v>8.43</v>
      </c>
      <c r="D28" s="8" t="n">
        <f aca="false">(B28-C28)/B28</f>
        <v>0.7365625</v>
      </c>
      <c r="E28" s="9" t="str">
        <f aca="false">IF(D28&lt;0.3,"Margen entre el 10% y 30%",IF(D28&lt;0.5,"Margen entre el 30% y 50%",IF(D28&lt;0.7,"Margen entre el 50% y 70%","Margen mayor al 70%")))</f>
        <v>Margen mayor al 70%</v>
      </c>
      <c r="F28" s="7" t="n">
        <v>35.97</v>
      </c>
      <c r="G28" s="7" t="n">
        <v>32.65</v>
      </c>
      <c r="H28" s="7" t="n">
        <v>26.85</v>
      </c>
      <c r="I28" s="10" t="n">
        <f aca="false">AVERAGE(F28:H28)</f>
        <v>31.8233333333333</v>
      </c>
      <c r="J28" s="8" t="n">
        <f aca="false">(I28-B28)/B28</f>
        <v>-0.00552083333333331</v>
      </c>
    </row>
    <row r="29" customFormat="false" ht="15" hidden="false" customHeight="false" outlineLevel="0" collapsed="false">
      <c r="A29" s="6" t="s">
        <v>52</v>
      </c>
      <c r="B29" s="7" t="n">
        <v>11.5</v>
      </c>
      <c r="C29" s="7" t="n">
        <v>8.24</v>
      </c>
      <c r="D29" s="8" t="n">
        <f aca="false">(B29-C29)/B29</f>
        <v>0.283478260869565</v>
      </c>
      <c r="E29" s="9" t="str">
        <f aca="false">IF(D29&lt;0.3,"Margen entre el 10% y 30%",IF(D29&lt;0.5,"Margen entre el 30% y 50%",IF(D29&lt;0.7,"Margen entre el 50% y 70%","Margen mayor al 70%")))</f>
        <v>Margen entre el 10% y 30%</v>
      </c>
      <c r="F29" s="7" t="n">
        <v>10.53</v>
      </c>
      <c r="G29" s="7" t="n">
        <v>13.59</v>
      </c>
      <c r="H29" s="7" t="n">
        <v>10.65</v>
      </c>
      <c r="I29" s="10" t="n">
        <f aca="false">AVERAGE(F29:H29)</f>
        <v>11.59</v>
      </c>
      <c r="J29" s="8" t="n">
        <f aca="false">(I29-B29)/B29</f>
        <v>0.00782608695652157</v>
      </c>
    </row>
    <row r="30" customFormat="false" ht="15" hidden="false" customHeight="false" outlineLevel="0" collapsed="false">
      <c r="A30" s="6" t="s">
        <v>53</v>
      </c>
      <c r="B30" s="7" t="n">
        <v>15</v>
      </c>
      <c r="C30" s="7" t="n">
        <v>5.74</v>
      </c>
      <c r="D30" s="8" t="n">
        <f aca="false">(B30-C30)/B30</f>
        <v>0.617333333333333</v>
      </c>
      <c r="E30" s="9" t="str">
        <f aca="false">IF(D30&lt;0.3,"Margen entre el 10% y 30%",IF(D30&lt;0.5,"Margen entre el 30% y 50%",IF(D30&lt;0.7,"Margen entre el 50% y 70%","Margen mayor al 70%")))</f>
        <v>Margen entre el 50% y 70%</v>
      </c>
      <c r="F30" s="7" t="n">
        <v>14.21</v>
      </c>
      <c r="G30" s="7" t="n">
        <v>13.2</v>
      </c>
      <c r="H30" s="7" t="n">
        <v>17.86</v>
      </c>
      <c r="I30" s="10" t="n">
        <f aca="false">AVERAGE(F30:H30)</f>
        <v>15.09</v>
      </c>
      <c r="J30" s="8" t="n">
        <f aca="false">(I30-B30)/B30</f>
        <v>0.00599999999999987</v>
      </c>
    </row>
    <row r="31" customFormat="false" ht="15" hidden="false" customHeight="false" outlineLevel="0" collapsed="false">
      <c r="A31" s="6" t="s">
        <v>54</v>
      </c>
      <c r="B31" s="7" t="n">
        <v>13</v>
      </c>
      <c r="C31" s="7" t="n">
        <v>10.94</v>
      </c>
      <c r="D31" s="8" t="n">
        <f aca="false">(B31-C31)/B31</f>
        <v>0.158461538461539</v>
      </c>
      <c r="E31" s="9" t="str">
        <f aca="false">IF(D31&lt;0.3,"Margen entre el 10% y 30%",IF(D31&lt;0.5,"Margen entre el 30% y 50%",IF(D31&lt;0.7,"Margen entre el 50% y 70%","Margen mayor al 70%")))</f>
        <v>Margen entre el 10% y 30%</v>
      </c>
      <c r="F31" s="7" t="n">
        <v>14.28</v>
      </c>
      <c r="G31" s="7" t="n">
        <v>16.46</v>
      </c>
      <c r="H31" s="7" t="n">
        <v>14.69</v>
      </c>
      <c r="I31" s="10" t="n">
        <f aca="false">AVERAGE(F31:H31)</f>
        <v>15.1433333333333</v>
      </c>
      <c r="J31" s="8" t="n">
        <f aca="false">(I31-B31)/B31</f>
        <v>0.164871794871795</v>
      </c>
    </row>
    <row r="32" customFormat="false" ht="15" hidden="false" customHeight="false" outlineLevel="0" collapsed="false">
      <c r="A32" s="6" t="s">
        <v>55</v>
      </c>
      <c r="B32" s="7" t="n">
        <v>10</v>
      </c>
      <c r="C32" s="7" t="n">
        <v>7.24</v>
      </c>
      <c r="D32" s="8" t="n">
        <f aca="false">(B32-C32)/B32</f>
        <v>0.276</v>
      </c>
      <c r="E32" s="9" t="str">
        <f aca="false">IF(D32&lt;0.3,"Margen entre el 10% y 30%",IF(D32&lt;0.5,"Margen entre el 30% y 50%",IF(D32&lt;0.7,"Margen entre el 50% y 70%","Margen mayor al 70%")))</f>
        <v>Margen entre el 10% y 30%</v>
      </c>
      <c r="F32" s="7" t="n">
        <v>8.96</v>
      </c>
      <c r="G32" s="7" t="n">
        <v>7.89</v>
      </c>
      <c r="H32" s="7" t="n">
        <v>9.33</v>
      </c>
      <c r="I32" s="10" t="n">
        <f aca="false">AVERAGE(F32:H32)</f>
        <v>8.72666666666667</v>
      </c>
      <c r="J32" s="8" t="n">
        <f aca="false">(I32-B32)/B32</f>
        <v>-0.127333333333333</v>
      </c>
    </row>
    <row r="33" customFormat="false" ht="15" hidden="false" customHeight="false" outlineLevel="0" collapsed="false">
      <c r="A33" s="6" t="s">
        <v>56</v>
      </c>
      <c r="B33" s="7" t="n">
        <v>14</v>
      </c>
      <c r="C33" s="7" t="n">
        <v>9.51</v>
      </c>
      <c r="D33" s="8" t="n">
        <f aca="false">(B33-C33)/B33</f>
        <v>0.320714285714286</v>
      </c>
      <c r="E33" s="9" t="str">
        <f aca="false">IF(D33&lt;0.3,"Margen entre el 10% y 30%",IF(D33&lt;0.5,"Margen entre el 30% y 50%",IF(D33&lt;0.7,"Margen entre el 50% y 70%","Margen mayor al 70%")))</f>
        <v>Margen entre el 30% y 50%</v>
      </c>
      <c r="F33" s="7" t="n">
        <v>12.33</v>
      </c>
      <c r="G33" s="7" t="n">
        <v>13.86</v>
      </c>
      <c r="H33" s="7" t="n">
        <v>15.49</v>
      </c>
      <c r="I33" s="10" t="n">
        <f aca="false">AVERAGE(F33:H33)</f>
        <v>13.8933333333333</v>
      </c>
      <c r="J33" s="8" t="n">
        <f aca="false">(I33-B33)/B33</f>
        <v>-0.00761904761904767</v>
      </c>
    </row>
    <row r="34" customFormat="false" ht="15" hidden="false" customHeight="false" outlineLevel="0" collapsed="false">
      <c r="A34" s="6" t="s">
        <v>57</v>
      </c>
      <c r="B34" s="7" t="n">
        <v>10</v>
      </c>
      <c r="C34" s="7" t="n">
        <v>8.18</v>
      </c>
      <c r="D34" s="8" t="n">
        <f aca="false">(B34-C34)/B34</f>
        <v>0.182</v>
      </c>
      <c r="E34" s="9" t="str">
        <f aca="false">IF(D34&lt;0.3,"Margen entre el 10% y 30%",IF(D34&lt;0.5,"Margen entre el 30% y 50%",IF(D34&lt;0.7,"Margen entre el 50% y 70%","Margen mayor al 70%")))</f>
        <v>Margen entre el 10% y 30%</v>
      </c>
      <c r="F34" s="7" t="n">
        <v>12.88</v>
      </c>
      <c r="G34" s="7" t="n">
        <v>13.39</v>
      </c>
      <c r="H34" s="7" t="n">
        <v>11.54</v>
      </c>
      <c r="I34" s="10" t="n">
        <f aca="false">AVERAGE(F34:H34)</f>
        <v>12.6033333333333</v>
      </c>
      <c r="J34" s="8" t="n">
        <f aca="false">(I34-B34)/B34</f>
        <v>0.260333333333333</v>
      </c>
    </row>
    <row r="35" customFormat="false" ht="15" hidden="false" customHeight="false" outlineLevel="0" collapsed="false">
      <c r="A35" s="6" t="s">
        <v>58</v>
      </c>
      <c r="B35" s="7" t="n">
        <v>10</v>
      </c>
      <c r="C35" s="7" t="n">
        <v>3.85</v>
      </c>
      <c r="D35" s="8" t="n">
        <f aca="false">(B35-C35)/B35</f>
        <v>0.615</v>
      </c>
      <c r="E35" s="9" t="str">
        <f aca="false">IF(D35&lt;0.3,"Margen entre el 10% y 30%",IF(D35&lt;0.5,"Margen entre el 30% y 50%",IF(D35&lt;0.7,"Margen entre el 50% y 70%","Margen mayor al 70%")))</f>
        <v>Margen entre el 50% y 70%</v>
      </c>
      <c r="F35" s="7" t="n">
        <v>8.6</v>
      </c>
      <c r="G35" s="7" t="n">
        <v>8</v>
      </c>
      <c r="H35" s="7" t="n">
        <v>7.9</v>
      </c>
      <c r="I35" s="10" t="n">
        <f aca="false">AVERAGE(F35:H35)</f>
        <v>8.16666666666667</v>
      </c>
      <c r="J35" s="8" t="n">
        <f aca="false">(I35-B35)/B35</f>
        <v>-0.183333333333333</v>
      </c>
    </row>
    <row r="36" customFormat="false" ht="15" hidden="false" customHeight="false" outlineLevel="0" collapsed="false">
      <c r="A36" s="6" t="s">
        <v>59</v>
      </c>
      <c r="B36" s="7" t="n">
        <v>10</v>
      </c>
      <c r="C36" s="7" t="n">
        <v>3.64</v>
      </c>
      <c r="D36" s="8" t="n">
        <f aca="false">(B36-C36)/B36</f>
        <v>0.636</v>
      </c>
      <c r="E36" s="9" t="str">
        <f aca="false">IF(D36&lt;0.3,"Margen entre el 10% y 30%",IF(D36&lt;0.5,"Margen entre el 30% y 50%",IF(D36&lt;0.7,"Margen entre el 50% y 70%","Margen mayor al 70%")))</f>
        <v>Margen entre el 50% y 70%</v>
      </c>
      <c r="F36" s="7" t="n">
        <v>13.29</v>
      </c>
      <c r="G36" s="7" t="n">
        <v>7.92</v>
      </c>
      <c r="H36" s="7" t="n">
        <v>11.43</v>
      </c>
      <c r="I36" s="10" t="n">
        <f aca="false">AVERAGE(F36:H36)</f>
        <v>10.88</v>
      </c>
      <c r="J36" s="8" t="n">
        <f aca="false">(I36-B36)/B36</f>
        <v>0.0880000000000001</v>
      </c>
    </row>
    <row r="37" customFormat="false" ht="15" hidden="false" customHeight="false" outlineLevel="0" collapsed="false">
      <c r="A37" s="6" t="s">
        <v>60</v>
      </c>
      <c r="B37" s="7" t="n">
        <v>30</v>
      </c>
      <c r="C37" s="7" t="n">
        <v>16.76</v>
      </c>
      <c r="D37" s="8" t="n">
        <f aca="false">(B37-C37)/B37</f>
        <v>0.441333333333333</v>
      </c>
      <c r="E37" s="9" t="str">
        <f aca="false">IF(D37&lt;0.3,"Margen entre el 10% y 30%",IF(D37&lt;0.5,"Margen entre el 30% y 50%",IF(D37&lt;0.7,"Margen entre el 50% y 70%","Margen mayor al 70%")))</f>
        <v>Margen entre el 30% y 50%</v>
      </c>
      <c r="F37" s="7" t="n">
        <v>28.85</v>
      </c>
      <c r="G37" s="7" t="n">
        <v>40.49</v>
      </c>
      <c r="H37" s="7" t="n">
        <v>24.69</v>
      </c>
      <c r="I37" s="10" t="n">
        <f aca="false">AVERAGE(F37:H37)</f>
        <v>31.3433333333333</v>
      </c>
      <c r="J37" s="8" t="n">
        <f aca="false">(I37-B37)/B37</f>
        <v>0.0447777777777778</v>
      </c>
    </row>
    <row r="38" customFormat="false" ht="15" hidden="false" customHeight="false" outlineLevel="0" collapsed="false">
      <c r="A38" s="6" t="s">
        <v>61</v>
      </c>
      <c r="B38" s="7" t="n">
        <v>13</v>
      </c>
      <c r="C38" s="7" t="n">
        <v>7.25</v>
      </c>
      <c r="D38" s="8" t="n">
        <f aca="false">(B38-C38)/B38</f>
        <v>0.442307692307692</v>
      </c>
      <c r="E38" s="9" t="str">
        <f aca="false">IF(D38&lt;0.3,"Margen entre el 10% y 30%",IF(D38&lt;0.5,"Margen entre el 30% y 50%",IF(D38&lt;0.7,"Margen entre el 50% y 70%","Margen mayor al 70%")))</f>
        <v>Margen entre el 30% y 50%</v>
      </c>
      <c r="F38" s="7" t="n">
        <v>16.81</v>
      </c>
      <c r="G38" s="7" t="n">
        <v>15.6</v>
      </c>
      <c r="H38" s="7" t="n">
        <v>15.35</v>
      </c>
      <c r="I38" s="10" t="n">
        <f aca="false">AVERAGE(F38:H38)</f>
        <v>15.92</v>
      </c>
      <c r="J38" s="8" t="n">
        <f aca="false">(I38-B38)/B38</f>
        <v>0.224615384615385</v>
      </c>
    </row>
    <row r="39" customFormat="false" ht="15" hidden="false" customHeight="false" outlineLevel="0" collapsed="false">
      <c r="A39" s="6" t="s">
        <v>62</v>
      </c>
      <c r="B39" s="7" t="n">
        <v>35</v>
      </c>
      <c r="C39" s="7" t="n">
        <v>11.39</v>
      </c>
      <c r="D39" s="8" t="n">
        <f aca="false">(B39-C39)/B39</f>
        <v>0.674571428571429</v>
      </c>
      <c r="E39" s="9" t="str">
        <f aca="false">IF(D39&lt;0.3,"Margen entre el 10% y 30%",IF(D39&lt;0.5,"Margen entre el 30% y 50%",IF(D39&lt;0.7,"Margen entre el 50% y 70%","Margen mayor al 70%")))</f>
        <v>Margen entre el 50% y 70%</v>
      </c>
      <c r="F39" s="7" t="n">
        <v>34.32</v>
      </c>
      <c r="G39" s="7" t="n">
        <v>40.97</v>
      </c>
      <c r="H39" s="7" t="n">
        <v>45.27</v>
      </c>
      <c r="I39" s="10" t="n">
        <f aca="false">AVERAGE(F39:H39)</f>
        <v>40.1866666666667</v>
      </c>
      <c r="J39" s="8" t="n">
        <f aca="false">(I39-B39)/B39</f>
        <v>0.148190476190476</v>
      </c>
    </row>
    <row r="40" customFormat="false" ht="15" hidden="false" customHeight="false" outlineLevel="0" collapsed="false">
      <c r="A40" s="6" t="s">
        <v>63</v>
      </c>
      <c r="B40" s="7" t="n">
        <v>10</v>
      </c>
      <c r="C40" s="7" t="n">
        <v>4.15</v>
      </c>
      <c r="D40" s="8" t="n">
        <f aca="false">(B40-C40)/B40</f>
        <v>0.585</v>
      </c>
      <c r="E40" s="9" t="str">
        <f aca="false">IF(D40&lt;0.3,"Margen entre el 10% y 30%",IF(D40&lt;0.5,"Margen entre el 30% y 50%",IF(D40&lt;0.7,"Margen entre el 50% y 70%","Margen mayor al 70%")))</f>
        <v>Margen entre el 50% y 70%</v>
      </c>
      <c r="F40" s="7" t="n">
        <v>12.31</v>
      </c>
      <c r="G40" s="7" t="n">
        <v>12.72</v>
      </c>
      <c r="H40" s="7" t="n">
        <v>11.07</v>
      </c>
      <c r="I40" s="10" t="n">
        <f aca="false">AVERAGE(F40:H40)</f>
        <v>12.0333333333333</v>
      </c>
      <c r="J40" s="8" t="n">
        <f aca="false">(I40-B40)/B40</f>
        <v>0.203333333333333</v>
      </c>
    </row>
    <row r="41" customFormat="false" ht="15" hidden="false" customHeight="false" outlineLevel="0" collapsed="false">
      <c r="A41" s="6" t="s">
        <v>64</v>
      </c>
      <c r="B41" s="7" t="n">
        <v>18</v>
      </c>
      <c r="C41" s="7" t="n">
        <v>11.18</v>
      </c>
      <c r="D41" s="8" t="n">
        <f aca="false">(B41-C41)/B41</f>
        <v>0.378888888888889</v>
      </c>
      <c r="E41" s="9" t="str">
        <f aca="false">IF(D41&lt;0.3,"Margen entre el 10% y 30%",IF(D41&lt;0.5,"Margen entre el 30% y 50%",IF(D41&lt;0.7,"Margen entre el 50% y 70%","Margen mayor al 70%")))</f>
        <v>Margen entre el 30% y 50%</v>
      </c>
      <c r="F41" s="7" t="n">
        <v>20.02</v>
      </c>
      <c r="G41" s="7" t="n">
        <v>20.29</v>
      </c>
      <c r="H41" s="7" t="n">
        <v>14.86</v>
      </c>
      <c r="I41" s="10" t="n">
        <f aca="false">AVERAGE(F41:H41)</f>
        <v>18.39</v>
      </c>
      <c r="J41" s="8" t="n">
        <f aca="false">(I41-B41)/B41</f>
        <v>0.0216666666666667</v>
      </c>
    </row>
    <row r="42" customFormat="false" ht="15" hidden="false" customHeight="false" outlineLevel="0" collapsed="false">
      <c r="A42" s="6" t="s">
        <v>65</v>
      </c>
      <c r="B42" s="7" t="n">
        <v>20</v>
      </c>
      <c r="C42" s="7" t="n">
        <v>10.22</v>
      </c>
      <c r="D42" s="8" t="n">
        <f aca="false">(B42-C42)/B42</f>
        <v>0.489</v>
      </c>
      <c r="E42" s="9" t="str">
        <f aca="false">IF(D42&lt;0.3,"Margen entre el 10% y 30%",IF(D42&lt;0.5,"Margen entre el 30% y 50%",IF(D42&lt;0.7,"Margen entre el 50% y 70%","Margen mayor al 70%")))</f>
        <v>Margen entre el 30% y 50%</v>
      </c>
      <c r="F42" s="7" t="n">
        <v>25.63</v>
      </c>
      <c r="G42" s="7" t="n">
        <v>23.9</v>
      </c>
      <c r="H42" s="7" t="n">
        <v>20.03</v>
      </c>
      <c r="I42" s="10" t="n">
        <f aca="false">AVERAGE(F42:H42)</f>
        <v>23.1866666666667</v>
      </c>
      <c r="J42" s="8" t="n">
        <f aca="false">(I42-B42)/B42</f>
        <v>0.159333333333333</v>
      </c>
    </row>
    <row r="43" customFormat="false" ht="15" hidden="false" customHeight="false" outlineLevel="0" collapsed="false">
      <c r="A43" s="6" t="s">
        <v>66</v>
      </c>
      <c r="B43" s="7" t="n">
        <v>20</v>
      </c>
      <c r="C43" s="7" t="n">
        <v>7.71</v>
      </c>
      <c r="D43" s="8" t="n">
        <f aca="false">(B43-C43)/B43</f>
        <v>0.6145</v>
      </c>
      <c r="E43" s="9" t="str">
        <f aca="false">IF(D43&lt;0.3,"Margen entre el 10% y 30%",IF(D43&lt;0.5,"Margen entre el 30% y 50%",IF(D43&lt;0.7,"Margen entre el 50% y 70%","Margen mayor al 70%")))</f>
        <v>Margen entre el 50% y 70%</v>
      </c>
      <c r="F43" s="7" t="n">
        <v>20.62</v>
      </c>
      <c r="G43" s="7" t="n">
        <v>25.16</v>
      </c>
      <c r="H43" s="7" t="n">
        <v>16.56</v>
      </c>
      <c r="I43" s="10" t="n">
        <f aca="false">AVERAGE(F43:H43)</f>
        <v>20.78</v>
      </c>
      <c r="J43" s="8" t="n">
        <f aca="false">(I43-B43)/B43</f>
        <v>0.0390000000000001</v>
      </c>
    </row>
    <row r="44" customFormat="false" ht="15" hidden="false" customHeight="false" outlineLevel="0" collapsed="false">
      <c r="A44" s="6" t="s">
        <v>67</v>
      </c>
      <c r="B44" s="7" t="n">
        <v>18</v>
      </c>
      <c r="C44" s="7" t="n">
        <v>8.72</v>
      </c>
      <c r="D44" s="8" t="n">
        <f aca="false">(B44-C44)/B44</f>
        <v>0.515555555555556</v>
      </c>
      <c r="E44" s="9" t="str">
        <f aca="false">IF(D44&lt;0.3,"Margen entre el 10% y 30%",IF(D44&lt;0.5,"Margen entre el 30% y 50%",IF(D44&lt;0.7,"Margen entre el 50% y 70%","Margen mayor al 70%")))</f>
        <v>Margen entre el 50% y 70%</v>
      </c>
      <c r="F44" s="7" t="n">
        <v>20.21</v>
      </c>
      <c r="G44" s="7" t="n">
        <v>18.97</v>
      </c>
      <c r="H44" s="7" t="n">
        <v>16.4</v>
      </c>
      <c r="I44" s="10" t="n">
        <f aca="false">AVERAGE(F44:H44)</f>
        <v>18.5266666666667</v>
      </c>
      <c r="J44" s="8" t="n">
        <f aca="false">(I44-B44)/B44</f>
        <v>0.0292592592592593</v>
      </c>
    </row>
    <row r="45" customFormat="false" ht="15" hidden="false" customHeight="false" outlineLevel="0" collapsed="false">
      <c r="A45" s="6" t="s">
        <v>68</v>
      </c>
      <c r="B45" s="7" t="n">
        <v>20</v>
      </c>
      <c r="C45" s="7" t="n">
        <v>8.01</v>
      </c>
      <c r="D45" s="8" t="n">
        <f aca="false">(B45-C45)/B45</f>
        <v>0.5995</v>
      </c>
      <c r="E45" s="9" t="str">
        <f aca="false">IF(D45&lt;0.3,"Margen entre el 10% y 30%",IF(D45&lt;0.5,"Margen entre el 30% y 50%",IF(D45&lt;0.7,"Margen entre el 50% y 70%","Margen mayor al 70%")))</f>
        <v>Margen entre el 50% y 70%</v>
      </c>
      <c r="F45" s="7" t="n">
        <v>22.61</v>
      </c>
      <c r="G45" s="7" t="n">
        <v>26.09</v>
      </c>
      <c r="H45" s="7" t="n">
        <v>18.52</v>
      </c>
      <c r="I45" s="10" t="n">
        <f aca="false">AVERAGE(F45:H45)</f>
        <v>22.4066666666667</v>
      </c>
      <c r="J45" s="8" t="n">
        <f aca="false">(I45-B45)/B45</f>
        <v>0.120333333333333</v>
      </c>
    </row>
    <row r="46" customFormat="false" ht="15" hidden="false" customHeight="false" outlineLevel="0" collapsed="false">
      <c r="A46" s="6" t="s">
        <v>69</v>
      </c>
      <c r="B46" s="7" t="n">
        <v>18</v>
      </c>
      <c r="C46" s="7" t="n">
        <v>14.92</v>
      </c>
      <c r="D46" s="8" t="n">
        <f aca="false">(B46-C46)/B46</f>
        <v>0.171111111111111</v>
      </c>
      <c r="E46" s="9" t="str">
        <f aca="false">IF(D46&lt;0.3,"Margen entre el 10% y 30%",IF(D46&lt;0.5,"Margen entre el 30% y 50%",IF(D46&lt;0.7,"Margen entre el 50% y 70%","Margen mayor al 70%")))</f>
        <v>Margen entre el 10% y 30%</v>
      </c>
      <c r="F46" s="7" t="n">
        <v>21</v>
      </c>
      <c r="G46" s="7" t="n">
        <v>16.12</v>
      </c>
      <c r="H46" s="7" t="n">
        <v>15.78</v>
      </c>
      <c r="I46" s="10" t="n">
        <f aca="false">AVERAGE(F46:H46)</f>
        <v>17.6333333333333</v>
      </c>
      <c r="J46" s="8" t="n">
        <f aca="false">(I46-B46)/B46</f>
        <v>-0.0203703703703704</v>
      </c>
    </row>
    <row r="47" customFormat="false" ht="15" hidden="false" customHeight="false" outlineLevel="0" collapsed="false">
      <c r="A47" s="6" t="s">
        <v>70</v>
      </c>
      <c r="B47" s="7" t="n">
        <v>23</v>
      </c>
      <c r="C47" s="7" t="n">
        <v>8.54</v>
      </c>
      <c r="D47" s="8" t="n">
        <f aca="false">(B47-C47)/B47</f>
        <v>0.628695652173913</v>
      </c>
      <c r="E47" s="9" t="str">
        <f aca="false">IF(D47&lt;0.3,"Margen entre el 10% y 30%",IF(D47&lt;0.5,"Margen entre el 30% y 50%",IF(D47&lt;0.7,"Margen entre el 50% y 70%","Margen mayor al 70%")))</f>
        <v>Margen entre el 50% y 70%</v>
      </c>
      <c r="F47" s="7" t="n">
        <v>23.73</v>
      </c>
      <c r="G47" s="7" t="n">
        <v>29.63</v>
      </c>
      <c r="H47" s="7" t="n">
        <v>22.23</v>
      </c>
      <c r="I47" s="10" t="n">
        <f aca="false">AVERAGE(F47:H47)</f>
        <v>25.1966666666667</v>
      </c>
      <c r="J47" s="8" t="n">
        <f aca="false">(I47-B47)/B47</f>
        <v>0.0955072463768117</v>
      </c>
    </row>
    <row r="48" customFormat="false" ht="15" hidden="false" customHeight="false" outlineLevel="0" collapsed="false">
      <c r="A48" s="6" t="s">
        <v>71</v>
      </c>
      <c r="B48" s="7" t="n">
        <v>22</v>
      </c>
      <c r="C48" s="7" t="n">
        <v>9.99</v>
      </c>
      <c r="D48" s="8" t="n">
        <f aca="false">(B48-C48)/B48</f>
        <v>0.545909090909091</v>
      </c>
      <c r="E48" s="9" t="str">
        <f aca="false">IF(D48&lt;0.3,"Margen entre el 10% y 30%",IF(D48&lt;0.5,"Margen entre el 30% y 50%",IF(D48&lt;0.7,"Margen entre el 50% y 70%","Margen mayor al 70%")))</f>
        <v>Margen entre el 50% y 70%</v>
      </c>
      <c r="F48" s="7" t="n">
        <v>22.56</v>
      </c>
      <c r="G48" s="7" t="n">
        <v>27.27</v>
      </c>
      <c r="H48" s="7" t="n">
        <v>28.62</v>
      </c>
      <c r="I48" s="10" t="n">
        <f aca="false">AVERAGE(F48:H48)</f>
        <v>26.15</v>
      </c>
      <c r="J48" s="8" t="n">
        <f aca="false">(I48-B48)/B48</f>
        <v>0.188636363636364</v>
      </c>
    </row>
    <row r="49" customFormat="false" ht="15" hidden="false" customHeight="false" outlineLevel="0" collapsed="false">
      <c r="A49" s="6" t="s">
        <v>72</v>
      </c>
      <c r="B49" s="7" t="n">
        <v>25</v>
      </c>
      <c r="C49" s="7" t="n">
        <v>10.52</v>
      </c>
      <c r="D49" s="8" t="n">
        <f aca="false">(B49-C49)/B49</f>
        <v>0.5792</v>
      </c>
      <c r="E49" s="9" t="str">
        <f aca="false">IF(D49&lt;0.3,"Margen entre el 10% y 30%",IF(D49&lt;0.5,"Margen entre el 30% y 50%",IF(D49&lt;0.7,"Margen entre el 50% y 70%","Margen mayor al 70%")))</f>
        <v>Margen entre el 50% y 70%</v>
      </c>
      <c r="F49" s="7" t="n">
        <v>27.81</v>
      </c>
      <c r="G49" s="7" t="n">
        <v>24.01</v>
      </c>
      <c r="H49" s="7" t="n">
        <v>21.44</v>
      </c>
      <c r="I49" s="10" t="n">
        <f aca="false">AVERAGE(F49:H49)</f>
        <v>24.42</v>
      </c>
      <c r="J49" s="8" t="n">
        <f aca="false">(I49-B49)/B49</f>
        <v>-0.0231999999999999</v>
      </c>
    </row>
    <row r="50" customFormat="false" ht="15" hidden="false" customHeight="false" outlineLevel="0" collapsed="false">
      <c r="A50" s="6" t="s">
        <v>73</v>
      </c>
      <c r="B50" s="7" t="n">
        <v>30</v>
      </c>
      <c r="C50" s="7" t="n">
        <v>16.18</v>
      </c>
      <c r="D50" s="8" t="n">
        <f aca="false">(B50-C50)/B50</f>
        <v>0.460666666666667</v>
      </c>
      <c r="E50" s="9" t="str">
        <f aca="false">IF(D50&lt;0.3,"Margen entre el 10% y 30%",IF(D50&lt;0.5,"Margen entre el 30% y 50%",IF(D50&lt;0.7,"Margen entre el 50% y 70%","Margen mayor al 70%")))</f>
        <v>Margen entre el 30% y 50%</v>
      </c>
      <c r="F50" s="7" t="n">
        <v>37.91</v>
      </c>
      <c r="G50" s="7" t="n">
        <v>35.56</v>
      </c>
      <c r="H50" s="7" t="n">
        <v>39.65</v>
      </c>
      <c r="I50" s="10" t="n">
        <f aca="false">AVERAGE(F50:H50)</f>
        <v>37.7066666666667</v>
      </c>
      <c r="J50" s="8" t="n">
        <f aca="false">(I50-B50)/B50</f>
        <v>0.256888888888889</v>
      </c>
    </row>
    <row r="51" customFormat="false" ht="15" hidden="false" customHeight="false" outlineLevel="0" collapsed="false">
      <c r="A51" s="6" t="s">
        <v>74</v>
      </c>
      <c r="B51" s="7" t="n">
        <v>22</v>
      </c>
      <c r="C51" s="7" t="n">
        <v>18.73</v>
      </c>
      <c r="D51" s="8" t="n">
        <f aca="false">(B51-C51)/B51</f>
        <v>0.148636363636364</v>
      </c>
      <c r="E51" s="9" t="str">
        <f aca="false">IF(D51&lt;0.3,"Margen entre el 10% y 30%",IF(D51&lt;0.5,"Margen entre el 30% y 50%",IF(D51&lt;0.7,"Margen entre el 50% y 70%","Margen mayor al 70%")))</f>
        <v>Margen entre el 10% y 30%</v>
      </c>
      <c r="F51" s="7" t="n">
        <v>22.81</v>
      </c>
      <c r="G51" s="7" t="n">
        <v>20.61</v>
      </c>
      <c r="H51" s="7" t="n">
        <v>19.84</v>
      </c>
      <c r="I51" s="10" t="n">
        <f aca="false">AVERAGE(F51:H51)</f>
        <v>21.0866666666667</v>
      </c>
      <c r="J51" s="8" t="n">
        <f aca="false">(I51-B51)/B51</f>
        <v>-0.0415151515151516</v>
      </c>
    </row>
    <row r="52" customFormat="false" ht="15" hidden="false" customHeight="false" outlineLevel="0" collapsed="false">
      <c r="A52" s="6" t="s">
        <v>75</v>
      </c>
      <c r="B52" s="7" t="n">
        <v>14</v>
      </c>
      <c r="C52" s="7" t="n">
        <v>8.08</v>
      </c>
      <c r="D52" s="8" t="n">
        <f aca="false">(B52-C52)/B52</f>
        <v>0.422857142857143</v>
      </c>
      <c r="E52" s="9" t="str">
        <f aca="false">IF(D52&lt;0.3,"Margen entre el 10% y 30%",IF(D52&lt;0.5,"Margen entre el 30% y 50%",IF(D52&lt;0.7,"Margen entre el 50% y 70%","Margen mayor al 70%")))</f>
        <v>Margen entre el 30% y 50%</v>
      </c>
      <c r="F52" s="7" t="n">
        <v>14.86</v>
      </c>
      <c r="G52" s="7" t="n">
        <v>13.44</v>
      </c>
      <c r="H52" s="7" t="n">
        <v>17.62</v>
      </c>
      <c r="I52" s="10" t="n">
        <f aca="false">AVERAGE(F52:H52)</f>
        <v>15.3066666666667</v>
      </c>
      <c r="J52" s="8" t="n">
        <f aca="false">(I52-B52)/B52</f>
        <v>0.0933333333333333</v>
      </c>
    </row>
    <row r="53" customFormat="false" ht="15" hidden="false" customHeight="false" outlineLevel="0" collapsed="false">
      <c r="A53" s="6" t="s">
        <v>76</v>
      </c>
      <c r="B53" s="7" t="n">
        <v>13</v>
      </c>
      <c r="C53" s="7" t="n">
        <v>3.59</v>
      </c>
      <c r="D53" s="8" t="n">
        <f aca="false">(B53-C53)/B53</f>
        <v>0.723846153846154</v>
      </c>
      <c r="E53" s="9" t="str">
        <f aca="false">IF(D53&lt;0.3,"Margen entre el 10% y 30%",IF(D53&lt;0.5,"Margen entre el 30% y 50%",IF(D53&lt;0.7,"Margen entre el 50% y 70%","Margen mayor al 70%")))</f>
        <v>Margen mayor al 70%</v>
      </c>
      <c r="F53" s="7" t="n">
        <v>10.69</v>
      </c>
      <c r="G53" s="7" t="n">
        <v>10.37</v>
      </c>
      <c r="H53" s="7" t="n">
        <v>16.61</v>
      </c>
      <c r="I53" s="10" t="n">
        <f aca="false">AVERAGE(F53:H53)</f>
        <v>12.5566666666667</v>
      </c>
      <c r="J53" s="8" t="n">
        <f aca="false">(I53-B53)/B53</f>
        <v>-0.0341025641025641</v>
      </c>
    </row>
    <row r="54" customFormat="false" ht="15" hidden="false" customHeight="false" outlineLevel="0" collapsed="false">
      <c r="A54" s="6" t="s">
        <v>77</v>
      </c>
      <c r="B54" s="7" t="n">
        <v>11</v>
      </c>
      <c r="C54" s="7" t="n">
        <v>8.35</v>
      </c>
      <c r="D54" s="8" t="n">
        <f aca="false">(B54-C54)/B54</f>
        <v>0.240909090909091</v>
      </c>
      <c r="E54" s="9" t="str">
        <f aca="false">IF(D54&lt;0.3,"Margen entre el 10% y 30%",IF(D54&lt;0.5,"Margen entre el 30% y 50%",IF(D54&lt;0.7,"Margen entre el 50% y 70%","Margen mayor al 70%")))</f>
        <v>Margen entre el 10% y 30%</v>
      </c>
      <c r="F54" s="7" t="n">
        <v>12.16</v>
      </c>
      <c r="G54" s="7" t="n">
        <v>10.52</v>
      </c>
      <c r="H54" s="7" t="n">
        <v>13.54</v>
      </c>
      <c r="I54" s="10" t="n">
        <f aca="false">AVERAGE(F54:H54)</f>
        <v>12.0733333333333</v>
      </c>
      <c r="J54" s="8" t="n">
        <f aca="false">(I54-B54)/B54</f>
        <v>0.0975757575757575</v>
      </c>
    </row>
    <row r="55" customFormat="false" ht="15" hidden="false" customHeight="false" outlineLevel="0" collapsed="false">
      <c r="A55" s="6" t="s">
        <v>78</v>
      </c>
      <c r="B55" s="7" t="n">
        <v>22</v>
      </c>
      <c r="C55" s="7" t="n">
        <v>18.85</v>
      </c>
      <c r="D55" s="8" t="n">
        <f aca="false">(B55-C55)/B55</f>
        <v>0.143181818181818</v>
      </c>
      <c r="E55" s="9" t="str">
        <f aca="false">IF(D55&lt;0.3,"Margen entre el 10% y 30%",IF(D55&lt;0.5,"Margen entre el 30% y 50%",IF(D55&lt;0.7,"Margen entre el 50% y 70%","Margen mayor al 70%")))</f>
        <v>Margen entre el 10% y 30%</v>
      </c>
      <c r="F55" s="7" t="n">
        <v>22.86</v>
      </c>
      <c r="G55" s="7" t="n">
        <v>17.47</v>
      </c>
      <c r="H55" s="7" t="n">
        <v>27.56</v>
      </c>
      <c r="I55" s="10" t="n">
        <f aca="false">AVERAGE(F55:H55)</f>
        <v>22.63</v>
      </c>
      <c r="J55" s="8" t="n">
        <f aca="false">(I55-B55)/B55</f>
        <v>0.0286363636363636</v>
      </c>
    </row>
    <row r="56" customFormat="false" ht="15" hidden="false" customHeight="false" outlineLevel="0" collapsed="false">
      <c r="A56" s="6" t="s">
        <v>79</v>
      </c>
      <c r="B56" s="7" t="n">
        <v>25.1</v>
      </c>
      <c r="C56" s="7" t="n">
        <v>21.49</v>
      </c>
      <c r="D56" s="8" t="n">
        <f aca="false">(B56-C56)/B56</f>
        <v>0.143824701195219</v>
      </c>
      <c r="E56" s="9" t="str">
        <f aca="false">IF(D56&lt;0.3,"Margen entre el 10% y 30%",IF(D56&lt;0.5,"Margen entre el 30% y 50%",IF(D56&lt;0.7,"Margen entre el 50% y 70%","Margen mayor al 70%")))</f>
        <v>Margen entre el 10% y 30%</v>
      </c>
      <c r="F56" s="7" t="n">
        <v>20.25</v>
      </c>
      <c r="G56" s="7" t="n">
        <v>28.58</v>
      </c>
      <c r="H56" s="7" t="n">
        <v>25.97</v>
      </c>
      <c r="I56" s="10" t="n">
        <f aca="false">AVERAGE(F56:H56)</f>
        <v>24.9333333333333</v>
      </c>
      <c r="J56" s="8" t="n">
        <f aca="false">(I56-B56)/B56</f>
        <v>-0.00664010624169991</v>
      </c>
    </row>
    <row r="57" customFormat="false" ht="15" hidden="false" customHeight="false" outlineLevel="0" collapsed="false">
      <c r="A57" s="6" t="s">
        <v>80</v>
      </c>
      <c r="B57" s="7" t="n">
        <v>38</v>
      </c>
      <c r="C57" s="7" t="n">
        <v>21.74</v>
      </c>
      <c r="D57" s="8" t="n">
        <f aca="false">(B57-C57)/B57</f>
        <v>0.427894736842105</v>
      </c>
      <c r="E57" s="9" t="str">
        <f aca="false">IF(D57&lt;0.3,"Margen entre el 10% y 30%",IF(D57&lt;0.5,"Margen entre el 30% y 50%",IF(D57&lt;0.7,"Margen entre el 50% y 70%","Margen mayor al 70%")))</f>
        <v>Margen entre el 30% y 50%</v>
      </c>
      <c r="F57" s="7" t="n">
        <v>47.13</v>
      </c>
      <c r="G57" s="7" t="n">
        <v>50.4</v>
      </c>
      <c r="H57" s="7" t="n">
        <v>44.47</v>
      </c>
      <c r="I57" s="10" t="n">
        <f aca="false">AVERAGE(F57:H57)</f>
        <v>47.3333333333333</v>
      </c>
      <c r="J57" s="8" t="n">
        <f aca="false">(I57-B57)/B57</f>
        <v>0.245614035087719</v>
      </c>
    </row>
    <row r="58" customFormat="false" ht="15" hidden="false" customHeight="false" outlineLevel="0" collapsed="false">
      <c r="A58" s="6" t="s">
        <v>81</v>
      </c>
      <c r="B58" s="7" t="n">
        <v>30</v>
      </c>
      <c r="C58" s="7" t="n">
        <v>23.98</v>
      </c>
      <c r="D58" s="8" t="n">
        <f aca="false">(B58-C58)/B58</f>
        <v>0.200666666666667</v>
      </c>
      <c r="E58" s="9" t="str">
        <f aca="false">IF(D58&lt;0.3,"Margen entre el 10% y 30%",IF(D58&lt;0.5,"Margen entre el 30% y 50%",IF(D58&lt;0.7,"Margen entre el 50% y 70%","Margen mayor al 70%")))</f>
        <v>Margen entre el 10% y 30%</v>
      </c>
      <c r="F58" s="7" t="n">
        <v>26.46</v>
      </c>
      <c r="G58" s="7" t="n">
        <v>23.58</v>
      </c>
      <c r="H58" s="7" t="n">
        <v>31.47</v>
      </c>
      <c r="I58" s="10" t="n">
        <f aca="false">AVERAGE(F58:H58)</f>
        <v>27.17</v>
      </c>
      <c r="J58" s="8" t="n">
        <f aca="false">(I58-B58)/B58</f>
        <v>-0.0943333333333334</v>
      </c>
    </row>
    <row r="59" customFormat="false" ht="15" hidden="false" customHeight="false" outlineLevel="0" collapsed="false">
      <c r="A59" s="6" t="s">
        <v>82</v>
      </c>
      <c r="B59" s="7" t="n">
        <v>86</v>
      </c>
      <c r="C59" s="7" t="n">
        <v>39.37</v>
      </c>
      <c r="D59" s="8" t="n">
        <f aca="false">(B59-C59)/B59</f>
        <v>0.542209302325581</v>
      </c>
      <c r="E59" s="9" t="str">
        <f aca="false">IF(D59&lt;0.3,"Margen entre el 10% y 30%",IF(D59&lt;0.5,"Margen entre el 30% y 50%",IF(D59&lt;0.7,"Margen entre el 50% y 70%","Margen mayor al 70%")))</f>
        <v>Margen entre el 50% y 70%</v>
      </c>
      <c r="F59" s="7" t="n">
        <v>80.43</v>
      </c>
      <c r="G59" s="7" t="n">
        <v>84.03</v>
      </c>
      <c r="H59" s="7" t="n">
        <v>101.26</v>
      </c>
      <c r="I59" s="10" t="n">
        <f aca="false">AVERAGE(F59:H59)</f>
        <v>88.5733333333333</v>
      </c>
      <c r="J59" s="8" t="n">
        <f aca="false">(I59-B59)/B59</f>
        <v>0.0299224806201551</v>
      </c>
    </row>
    <row r="60" customFormat="false" ht="15" hidden="false" customHeight="false" outlineLevel="0" collapsed="false">
      <c r="A60" s="6" t="s">
        <v>83</v>
      </c>
      <c r="B60" s="7" t="n">
        <v>112</v>
      </c>
      <c r="C60" s="7" t="n">
        <v>64.89</v>
      </c>
      <c r="D60" s="8" t="n">
        <f aca="false">(B60-C60)/B60</f>
        <v>0.420625</v>
      </c>
      <c r="E60" s="9" t="str">
        <f aca="false">IF(D60&lt;0.3,"Margen entre el 10% y 30%",IF(D60&lt;0.5,"Margen entre el 30% y 50%",IF(D60&lt;0.7,"Margen entre el 50% y 70%","Margen mayor al 70%")))</f>
        <v>Margen entre el 30% y 50%</v>
      </c>
      <c r="F60" s="7" t="n">
        <v>135.64</v>
      </c>
      <c r="G60" s="7" t="n">
        <v>112.48</v>
      </c>
      <c r="H60" s="7" t="n">
        <v>137.92</v>
      </c>
      <c r="I60" s="10" t="n">
        <f aca="false">AVERAGE(F60:H60)</f>
        <v>128.68</v>
      </c>
      <c r="J60" s="8" t="n">
        <f aca="false">(I60-B60)/B60</f>
        <v>0.148928571428571</v>
      </c>
    </row>
    <row r="61" customFormat="false" ht="15" hidden="false" customHeight="false" outlineLevel="0" collapsed="false">
      <c r="A61" s="6" t="s">
        <v>84</v>
      </c>
      <c r="B61" s="7" t="n">
        <v>117.55</v>
      </c>
      <c r="C61" s="7" t="n">
        <v>55.75</v>
      </c>
      <c r="D61" s="8" t="n">
        <f aca="false">(B61-C61)/B61</f>
        <v>0.52573373032752</v>
      </c>
      <c r="E61" s="9" t="str">
        <f aca="false">IF(D61&lt;0.3,"Margen entre el 10% y 30%",IF(D61&lt;0.5,"Margen entre el 30% y 50%",IF(D61&lt;0.7,"Margen entre el 50% y 70%","Margen mayor al 70%")))</f>
        <v>Margen entre el 50% y 70%</v>
      </c>
      <c r="F61" s="7" t="n">
        <v>154.18</v>
      </c>
      <c r="G61" s="7" t="n">
        <v>140.09</v>
      </c>
      <c r="H61" s="7" t="n">
        <v>100.39</v>
      </c>
      <c r="I61" s="10" t="n">
        <f aca="false">AVERAGE(F61:H61)</f>
        <v>131.553333333333</v>
      </c>
      <c r="J61" s="8" t="n">
        <f aca="false">(I61-B61)/B61</f>
        <v>0.119126612788884</v>
      </c>
    </row>
    <row r="62" customFormat="false" ht="15" hidden="false" customHeight="false" outlineLevel="0" collapsed="false">
      <c r="A62" s="6" t="s">
        <v>85</v>
      </c>
      <c r="B62" s="7" t="n">
        <v>150</v>
      </c>
      <c r="C62" s="7" t="n">
        <v>86.61</v>
      </c>
      <c r="D62" s="8" t="n">
        <f aca="false">(B62-C62)/B62</f>
        <v>0.4226</v>
      </c>
      <c r="E62" s="9" t="str">
        <f aca="false">IF(D62&lt;0.3,"Margen entre el 10% y 30%",IF(D62&lt;0.5,"Margen entre el 30% y 50%",IF(D62&lt;0.7,"Margen entre el 50% y 70%","Margen mayor al 70%")))</f>
        <v>Margen entre el 30% y 50%</v>
      </c>
      <c r="F62" s="7" t="n">
        <v>194.8</v>
      </c>
      <c r="G62" s="7" t="n">
        <v>149.22</v>
      </c>
      <c r="H62" s="7" t="n">
        <v>165.63</v>
      </c>
      <c r="I62" s="10" t="n">
        <f aca="false">AVERAGE(F62:H62)</f>
        <v>169.883333333333</v>
      </c>
      <c r="J62" s="8" t="n">
        <f aca="false">(I62-B62)/B62</f>
        <v>0.132555555555556</v>
      </c>
    </row>
    <row r="63" customFormat="false" ht="15" hidden="false" customHeight="false" outlineLevel="0" collapsed="false">
      <c r="A63" s="6" t="s">
        <v>86</v>
      </c>
      <c r="B63" s="7" t="n">
        <v>30</v>
      </c>
      <c r="C63" s="7" t="n">
        <v>10.4</v>
      </c>
      <c r="D63" s="8" t="n">
        <f aca="false">(B63-C63)/B63</f>
        <v>0.653333333333333</v>
      </c>
      <c r="E63" s="9" t="str">
        <f aca="false">IF(D63&lt;0.3,"Margen entre el 10% y 30%",IF(D63&lt;0.5,"Margen entre el 30% y 50%",IF(D63&lt;0.7,"Margen entre el 50% y 70%","Margen mayor al 70%")))</f>
        <v>Margen entre el 50% y 70%</v>
      </c>
      <c r="F63" s="7" t="n">
        <v>39.55</v>
      </c>
      <c r="G63" s="7" t="n">
        <v>31.33</v>
      </c>
      <c r="H63" s="7" t="n">
        <v>34.54</v>
      </c>
      <c r="I63" s="10" t="n">
        <f aca="false">AVERAGE(F63:H63)</f>
        <v>35.14</v>
      </c>
      <c r="J63" s="8" t="n">
        <f aca="false">(I63-B63)/B63</f>
        <v>0.171333333333333</v>
      </c>
    </row>
  </sheetData>
  <conditionalFormatting sqref="E5:E63">
    <cfRule type="expression" priority="2" aboveAverage="0" equalAverage="0" bottom="0" percent="0" rank="0" text="" dxfId="0">
      <formula>E5="Margen entre el 10% y 30%"</formula>
    </cfRule>
    <cfRule type="expression" priority="3" aboveAverage="0" equalAverage="0" bottom="0" percent="0" rank="0" text="" dxfId="1">
      <formula>E5="Margen entre el 30% y 50%"</formula>
    </cfRule>
    <cfRule type="expression" priority="4" aboveAverage="0" equalAverage="0" bottom="0" percent="0" rank="0" text="" dxfId="2">
      <formula>E5="Margen entre el 50% y 70%"</formula>
    </cfRule>
    <cfRule type="expression" priority="5" aboveAverage="0" equalAverage="0" bottom="0" percent="0" rank="0" text="" dxfId="3">
      <formula>E5="Margen mayor al 70%"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87</v>
      </c>
    </row>
    <row r="3" customFormat="false" ht="43.5" hidden="false" customHeight="true" outlineLevel="0" collapsed="false">
      <c r="A3" s="5" t="s">
        <v>88</v>
      </c>
      <c r="B3" s="5" t="s">
        <v>89</v>
      </c>
      <c r="C3" s="5" t="s">
        <v>90</v>
      </c>
      <c r="D3" s="5" t="s">
        <v>91</v>
      </c>
      <c r="E3" s="5" t="s">
        <v>20</v>
      </c>
    </row>
    <row r="4" customFormat="false" ht="15" hidden="false" customHeight="false" outlineLevel="0" collapsed="false">
      <c r="A4" s="6" t="s">
        <v>92</v>
      </c>
      <c r="B4" s="11" t="n">
        <v>45658</v>
      </c>
      <c r="C4" s="6" t="s">
        <v>93</v>
      </c>
      <c r="D4" s="12" t="n">
        <v>67477</v>
      </c>
      <c r="E4" s="12" t="n">
        <v>25919</v>
      </c>
    </row>
    <row r="5" customFormat="false" ht="15" hidden="false" customHeight="false" outlineLevel="0" collapsed="false">
      <c r="A5" s="6" t="s">
        <v>92</v>
      </c>
      <c r="B5" s="11" t="n">
        <v>45658</v>
      </c>
      <c r="C5" s="6" t="s">
        <v>94</v>
      </c>
      <c r="D5" s="12" t="n">
        <v>49015</v>
      </c>
      <c r="E5" s="12" t="n">
        <v>27611</v>
      </c>
    </row>
    <row r="6" customFormat="false" ht="15" hidden="false" customHeight="false" outlineLevel="0" collapsed="false">
      <c r="A6" s="6" t="s">
        <v>92</v>
      </c>
      <c r="B6" s="11" t="n">
        <v>45658</v>
      </c>
      <c r="C6" s="6" t="s">
        <v>95</v>
      </c>
      <c r="D6" s="12" t="n">
        <v>56029</v>
      </c>
      <c r="E6" s="12" t="n">
        <v>42924</v>
      </c>
    </row>
    <row r="7" customFormat="false" ht="15" hidden="false" customHeight="false" outlineLevel="0" collapsed="false">
      <c r="A7" s="6" t="s">
        <v>92</v>
      </c>
      <c r="B7" s="11" t="n">
        <v>45658</v>
      </c>
      <c r="C7" s="6" t="s">
        <v>96</v>
      </c>
      <c r="D7" s="12" t="n">
        <v>73395</v>
      </c>
      <c r="E7" s="12" t="n">
        <v>49144</v>
      </c>
    </row>
    <row r="8" customFormat="false" ht="15" hidden="false" customHeight="false" outlineLevel="0" collapsed="false">
      <c r="A8" s="6" t="s">
        <v>92</v>
      </c>
      <c r="B8" s="11" t="n">
        <v>45658</v>
      </c>
      <c r="C8" s="6" t="s">
        <v>97</v>
      </c>
      <c r="D8" s="12" t="n">
        <v>38159</v>
      </c>
      <c r="E8" s="12" t="n">
        <v>13143</v>
      </c>
    </row>
    <row r="9" customFormat="false" ht="15" hidden="false" customHeight="false" outlineLevel="0" collapsed="false">
      <c r="A9" s="6" t="s">
        <v>92</v>
      </c>
      <c r="B9" s="11" t="n">
        <v>45658</v>
      </c>
      <c r="C9" s="6" t="s">
        <v>98</v>
      </c>
      <c r="D9" s="12" t="n">
        <v>64369</v>
      </c>
      <c r="E9" s="12" t="n">
        <v>47221</v>
      </c>
    </row>
    <row r="10" customFormat="false" ht="15" hidden="false" customHeight="false" outlineLevel="0" collapsed="false">
      <c r="A10" s="6" t="s">
        <v>92</v>
      </c>
      <c r="B10" s="11" t="n">
        <v>45689</v>
      </c>
      <c r="C10" s="6" t="s">
        <v>93</v>
      </c>
      <c r="D10" s="12" t="n">
        <v>54480</v>
      </c>
      <c r="E10" s="12" t="n">
        <v>24687</v>
      </c>
    </row>
    <row r="11" customFormat="false" ht="15" hidden="false" customHeight="false" outlineLevel="0" collapsed="false">
      <c r="A11" s="6" t="s">
        <v>92</v>
      </c>
      <c r="B11" s="11" t="n">
        <v>45689</v>
      </c>
      <c r="C11" s="6" t="s">
        <v>94</v>
      </c>
      <c r="D11" s="12" t="n">
        <v>45841</v>
      </c>
      <c r="E11" s="12" t="n">
        <v>24585</v>
      </c>
    </row>
    <row r="12" customFormat="false" ht="15" hidden="false" customHeight="false" outlineLevel="0" collapsed="false">
      <c r="A12" s="6" t="s">
        <v>92</v>
      </c>
      <c r="B12" s="11" t="n">
        <v>45689</v>
      </c>
      <c r="C12" s="6" t="s">
        <v>95</v>
      </c>
      <c r="D12" s="12" t="n">
        <v>53390</v>
      </c>
      <c r="E12" s="12" t="n">
        <v>39576</v>
      </c>
    </row>
    <row r="13" customFormat="false" ht="15" hidden="false" customHeight="false" outlineLevel="0" collapsed="false">
      <c r="A13" s="6" t="s">
        <v>92</v>
      </c>
      <c r="B13" s="11" t="n">
        <v>45689</v>
      </c>
      <c r="C13" s="6" t="s">
        <v>96</v>
      </c>
      <c r="D13" s="12" t="n">
        <v>68630</v>
      </c>
      <c r="E13" s="12" t="n">
        <v>46352</v>
      </c>
    </row>
    <row r="14" customFormat="false" ht="15" hidden="false" customHeight="false" outlineLevel="0" collapsed="false">
      <c r="A14" s="6" t="s">
        <v>92</v>
      </c>
      <c r="B14" s="11" t="n">
        <v>45689</v>
      </c>
      <c r="C14" s="6" t="s">
        <v>97</v>
      </c>
      <c r="D14" s="12" t="n">
        <v>41591</v>
      </c>
      <c r="E14" s="12" t="n">
        <v>13844</v>
      </c>
    </row>
    <row r="15" customFormat="false" ht="15" hidden="false" customHeight="false" outlineLevel="0" collapsed="false">
      <c r="A15" s="6" t="s">
        <v>92</v>
      </c>
      <c r="B15" s="11" t="n">
        <v>45689</v>
      </c>
      <c r="C15" s="6" t="s">
        <v>98</v>
      </c>
      <c r="D15" s="12" t="n">
        <v>68075</v>
      </c>
      <c r="E15" s="12" t="n">
        <v>49036</v>
      </c>
    </row>
    <row r="16" customFormat="false" ht="15" hidden="false" customHeight="false" outlineLevel="0" collapsed="false">
      <c r="A16" s="6" t="s">
        <v>92</v>
      </c>
      <c r="B16" s="11" t="n">
        <v>45717</v>
      </c>
      <c r="C16" s="6" t="s">
        <v>93</v>
      </c>
      <c r="D16" s="12" t="n">
        <v>72710</v>
      </c>
      <c r="E16" s="12" t="n">
        <v>31336</v>
      </c>
    </row>
    <row r="17" customFormat="false" ht="15" hidden="false" customHeight="false" outlineLevel="0" collapsed="false">
      <c r="A17" s="6" t="s">
        <v>92</v>
      </c>
      <c r="B17" s="11" t="n">
        <v>45717</v>
      </c>
      <c r="C17" s="6" t="s">
        <v>94</v>
      </c>
      <c r="D17" s="12" t="n">
        <v>51085</v>
      </c>
      <c r="E17" s="12" t="n">
        <v>27612</v>
      </c>
    </row>
    <row r="18" customFormat="false" ht="15" hidden="false" customHeight="false" outlineLevel="0" collapsed="false">
      <c r="A18" s="6" t="s">
        <v>92</v>
      </c>
      <c r="B18" s="11" t="n">
        <v>45717</v>
      </c>
      <c r="C18" s="6" t="s">
        <v>95</v>
      </c>
      <c r="D18" s="12" t="n">
        <v>59633</v>
      </c>
      <c r="E18" s="12" t="n">
        <v>44555</v>
      </c>
    </row>
    <row r="19" customFormat="false" ht="15" hidden="false" customHeight="false" outlineLevel="0" collapsed="false">
      <c r="A19" s="6" t="s">
        <v>92</v>
      </c>
      <c r="B19" s="11" t="n">
        <v>45717</v>
      </c>
      <c r="C19" s="6" t="s">
        <v>96</v>
      </c>
      <c r="D19" s="12" t="n">
        <v>75061</v>
      </c>
      <c r="E19" s="12" t="n">
        <v>50527</v>
      </c>
    </row>
    <row r="20" customFormat="false" ht="15" hidden="false" customHeight="false" outlineLevel="0" collapsed="false">
      <c r="A20" s="6" t="s">
        <v>92</v>
      </c>
      <c r="B20" s="11" t="n">
        <v>45717</v>
      </c>
      <c r="C20" s="6" t="s">
        <v>97</v>
      </c>
      <c r="D20" s="12" t="n">
        <v>43225</v>
      </c>
      <c r="E20" s="12" t="n">
        <v>13943</v>
      </c>
    </row>
    <row r="21" customFormat="false" ht="15" hidden="false" customHeight="false" outlineLevel="0" collapsed="false">
      <c r="A21" s="6" t="s">
        <v>92</v>
      </c>
      <c r="B21" s="11" t="n">
        <v>45717</v>
      </c>
      <c r="C21" s="6" t="s">
        <v>98</v>
      </c>
      <c r="D21" s="12" t="n">
        <v>74163</v>
      </c>
      <c r="E21" s="12" t="n">
        <v>54451</v>
      </c>
    </row>
    <row r="22" customFormat="false" ht="15" hidden="false" customHeight="false" outlineLevel="0" collapsed="false">
      <c r="A22" s="6" t="s">
        <v>92</v>
      </c>
      <c r="B22" s="11" t="n">
        <v>45748</v>
      </c>
      <c r="C22" s="6" t="s">
        <v>93</v>
      </c>
      <c r="D22" s="12" t="n">
        <v>70587</v>
      </c>
      <c r="E22" s="12" t="n">
        <v>31442</v>
      </c>
    </row>
    <row r="23" customFormat="false" ht="15" hidden="false" customHeight="false" outlineLevel="0" collapsed="false">
      <c r="A23" s="6" t="s">
        <v>92</v>
      </c>
      <c r="B23" s="11" t="n">
        <v>45748</v>
      </c>
      <c r="C23" s="6" t="s">
        <v>94</v>
      </c>
      <c r="D23" s="12" t="n">
        <v>46930</v>
      </c>
      <c r="E23" s="12" t="n">
        <v>25536</v>
      </c>
    </row>
    <row r="24" customFormat="false" ht="15" hidden="false" customHeight="false" outlineLevel="0" collapsed="false">
      <c r="A24" s="6" t="s">
        <v>92</v>
      </c>
      <c r="B24" s="11" t="n">
        <v>45748</v>
      </c>
      <c r="C24" s="6" t="s">
        <v>95</v>
      </c>
      <c r="D24" s="12" t="n">
        <v>64549</v>
      </c>
      <c r="E24" s="12" t="n">
        <v>50629</v>
      </c>
    </row>
    <row r="25" customFormat="false" ht="15" hidden="false" customHeight="false" outlineLevel="0" collapsed="false">
      <c r="A25" s="6" t="s">
        <v>92</v>
      </c>
      <c r="B25" s="11" t="n">
        <v>45748</v>
      </c>
      <c r="C25" s="6" t="s">
        <v>96</v>
      </c>
      <c r="D25" s="12" t="n">
        <v>74301</v>
      </c>
      <c r="E25" s="12" t="n">
        <v>49939</v>
      </c>
    </row>
    <row r="26" customFormat="false" ht="15" hidden="false" customHeight="false" outlineLevel="0" collapsed="false">
      <c r="A26" s="6" t="s">
        <v>92</v>
      </c>
      <c r="B26" s="11" t="n">
        <v>45748</v>
      </c>
      <c r="C26" s="6" t="s">
        <v>97</v>
      </c>
      <c r="D26" s="12" t="n">
        <v>40737</v>
      </c>
      <c r="E26" s="12" t="n">
        <v>14582</v>
      </c>
    </row>
    <row r="27" customFormat="false" ht="15" hidden="false" customHeight="false" outlineLevel="0" collapsed="false">
      <c r="A27" s="6" t="s">
        <v>92</v>
      </c>
      <c r="B27" s="11" t="n">
        <v>45748</v>
      </c>
      <c r="C27" s="6" t="s">
        <v>98</v>
      </c>
      <c r="D27" s="12" t="n">
        <v>76328</v>
      </c>
      <c r="E27" s="12" t="n">
        <v>53761</v>
      </c>
    </row>
    <row r="28" customFormat="false" ht="15" hidden="false" customHeight="false" outlineLevel="0" collapsed="false">
      <c r="A28" s="6" t="s">
        <v>92</v>
      </c>
      <c r="B28" s="11" t="n">
        <v>45778</v>
      </c>
      <c r="C28" s="6" t="s">
        <v>93</v>
      </c>
      <c r="D28" s="12" t="n">
        <v>68447</v>
      </c>
      <c r="E28" s="12" t="n">
        <v>29461</v>
      </c>
    </row>
    <row r="29" customFormat="false" ht="15" hidden="false" customHeight="false" outlineLevel="0" collapsed="false">
      <c r="A29" s="6" t="s">
        <v>92</v>
      </c>
      <c r="B29" s="11" t="n">
        <v>45778</v>
      </c>
      <c r="C29" s="6" t="s">
        <v>94</v>
      </c>
      <c r="D29" s="12" t="n">
        <v>49581</v>
      </c>
      <c r="E29" s="12" t="n">
        <v>27052</v>
      </c>
    </row>
    <row r="30" customFormat="false" ht="15" hidden="false" customHeight="false" outlineLevel="0" collapsed="false">
      <c r="A30" s="6" t="s">
        <v>92</v>
      </c>
      <c r="B30" s="11" t="n">
        <v>45778</v>
      </c>
      <c r="C30" s="6" t="s">
        <v>95</v>
      </c>
      <c r="D30" s="12" t="n">
        <v>66150</v>
      </c>
      <c r="E30" s="12" t="n">
        <v>50015</v>
      </c>
    </row>
    <row r="31" customFormat="false" ht="15" hidden="false" customHeight="false" outlineLevel="0" collapsed="false">
      <c r="A31" s="6" t="s">
        <v>92</v>
      </c>
      <c r="B31" s="11" t="n">
        <v>45778</v>
      </c>
      <c r="C31" s="6" t="s">
        <v>96</v>
      </c>
      <c r="D31" s="12" t="n">
        <v>79091</v>
      </c>
      <c r="E31" s="12" t="n">
        <v>53104</v>
      </c>
    </row>
    <row r="32" customFormat="false" ht="15" hidden="false" customHeight="false" outlineLevel="0" collapsed="false">
      <c r="A32" s="6" t="s">
        <v>92</v>
      </c>
      <c r="B32" s="11" t="n">
        <v>45778</v>
      </c>
      <c r="C32" s="6" t="s">
        <v>97</v>
      </c>
      <c r="D32" s="12" t="n">
        <v>48951</v>
      </c>
      <c r="E32" s="12" t="n">
        <v>15832</v>
      </c>
    </row>
    <row r="33" customFormat="false" ht="15" hidden="false" customHeight="false" outlineLevel="0" collapsed="false">
      <c r="A33" s="6" t="s">
        <v>92</v>
      </c>
      <c r="B33" s="11" t="n">
        <v>45778</v>
      </c>
      <c r="C33" s="6" t="s">
        <v>98</v>
      </c>
      <c r="D33" s="12" t="n">
        <v>82760</v>
      </c>
      <c r="E33" s="12" t="n">
        <v>62149</v>
      </c>
    </row>
    <row r="34" customFormat="false" ht="15" hidden="false" customHeight="false" outlineLevel="0" collapsed="false">
      <c r="A34" s="6" t="s">
        <v>92</v>
      </c>
      <c r="B34" s="11" t="n">
        <v>45809</v>
      </c>
      <c r="C34" s="6" t="s">
        <v>93</v>
      </c>
      <c r="D34" s="12" t="n">
        <v>70139</v>
      </c>
      <c r="E34" s="12" t="n">
        <v>27109</v>
      </c>
    </row>
    <row r="35" customFormat="false" ht="15" hidden="false" customHeight="false" outlineLevel="0" collapsed="false">
      <c r="A35" s="6" t="s">
        <v>92</v>
      </c>
      <c r="B35" s="11" t="n">
        <v>45809</v>
      </c>
      <c r="C35" s="6" t="s">
        <v>94</v>
      </c>
      <c r="D35" s="12" t="n">
        <v>51735</v>
      </c>
      <c r="E35" s="12" t="n">
        <v>25576</v>
      </c>
    </row>
    <row r="36" customFormat="false" ht="15" hidden="false" customHeight="false" outlineLevel="0" collapsed="false">
      <c r="A36" s="6" t="s">
        <v>92</v>
      </c>
      <c r="B36" s="11" t="n">
        <v>45809</v>
      </c>
      <c r="C36" s="6" t="s">
        <v>95</v>
      </c>
      <c r="D36" s="12" t="n">
        <v>57395</v>
      </c>
      <c r="E36" s="12" t="n">
        <v>41439</v>
      </c>
    </row>
    <row r="37" customFormat="false" ht="15" hidden="false" customHeight="false" outlineLevel="0" collapsed="false">
      <c r="A37" s="6" t="s">
        <v>92</v>
      </c>
      <c r="B37" s="11" t="n">
        <v>45809</v>
      </c>
      <c r="C37" s="6" t="s">
        <v>96</v>
      </c>
      <c r="D37" s="12" t="n">
        <v>74295</v>
      </c>
      <c r="E37" s="12" t="n">
        <v>48047</v>
      </c>
    </row>
    <row r="38" customFormat="false" ht="15" hidden="false" customHeight="false" outlineLevel="0" collapsed="false">
      <c r="A38" s="6" t="s">
        <v>92</v>
      </c>
      <c r="B38" s="11" t="n">
        <v>45809</v>
      </c>
      <c r="C38" s="6" t="s">
        <v>97</v>
      </c>
      <c r="D38" s="12" t="n">
        <v>41114</v>
      </c>
      <c r="E38" s="12" t="n">
        <v>12961</v>
      </c>
    </row>
    <row r="39" customFormat="false" ht="15" hidden="false" customHeight="false" outlineLevel="0" collapsed="false">
      <c r="A39" s="6" t="s">
        <v>92</v>
      </c>
      <c r="B39" s="11" t="n">
        <v>45809</v>
      </c>
      <c r="C39" s="6" t="s">
        <v>98</v>
      </c>
      <c r="D39" s="12" t="n">
        <v>79042</v>
      </c>
      <c r="E39" s="12" t="n">
        <v>54705</v>
      </c>
    </row>
    <row r="40" customFormat="false" ht="15" hidden="false" customHeight="false" outlineLevel="0" collapsed="false">
      <c r="A40" s="6" t="s">
        <v>92</v>
      </c>
      <c r="B40" s="11" t="n">
        <v>45839</v>
      </c>
      <c r="C40" s="6" t="s">
        <v>93</v>
      </c>
      <c r="D40" s="12" t="n">
        <v>79194</v>
      </c>
      <c r="E40" s="12" t="n">
        <v>30418</v>
      </c>
    </row>
    <row r="41" customFormat="false" ht="15" hidden="false" customHeight="false" outlineLevel="0" collapsed="false">
      <c r="A41" s="6" t="s">
        <v>92</v>
      </c>
      <c r="B41" s="11" t="n">
        <v>45839</v>
      </c>
      <c r="C41" s="6" t="s">
        <v>94</v>
      </c>
      <c r="D41" s="12" t="n">
        <v>54967</v>
      </c>
      <c r="E41" s="12" t="n">
        <v>26986</v>
      </c>
    </row>
    <row r="42" customFormat="false" ht="15" hidden="false" customHeight="false" outlineLevel="0" collapsed="false">
      <c r="A42" s="6" t="s">
        <v>92</v>
      </c>
      <c r="B42" s="11" t="n">
        <v>45839</v>
      </c>
      <c r="C42" s="6" t="s">
        <v>95</v>
      </c>
      <c r="D42" s="12" t="n">
        <v>69317</v>
      </c>
      <c r="E42" s="12" t="n">
        <v>53534</v>
      </c>
    </row>
    <row r="43" customFormat="false" ht="15" hidden="false" customHeight="false" outlineLevel="0" collapsed="false">
      <c r="A43" s="6" t="s">
        <v>92</v>
      </c>
      <c r="B43" s="11" t="n">
        <v>45839</v>
      </c>
      <c r="C43" s="6" t="s">
        <v>96</v>
      </c>
      <c r="D43" s="12" t="n">
        <v>95867</v>
      </c>
      <c r="E43" s="12" t="n">
        <v>62298</v>
      </c>
    </row>
    <row r="44" customFormat="false" ht="15" hidden="false" customHeight="false" outlineLevel="0" collapsed="false">
      <c r="A44" s="6" t="s">
        <v>92</v>
      </c>
      <c r="B44" s="11" t="n">
        <v>45839</v>
      </c>
      <c r="C44" s="6" t="s">
        <v>97</v>
      </c>
      <c r="D44" s="12" t="n">
        <v>45810</v>
      </c>
      <c r="E44" s="12" t="n">
        <v>17130</v>
      </c>
    </row>
    <row r="45" customFormat="false" ht="15" hidden="false" customHeight="false" outlineLevel="0" collapsed="false">
      <c r="A45" s="6" t="s">
        <v>92</v>
      </c>
      <c r="B45" s="11" t="n">
        <v>45839</v>
      </c>
      <c r="C45" s="6" t="s">
        <v>98</v>
      </c>
      <c r="D45" s="12" t="n">
        <v>81261</v>
      </c>
      <c r="E45" s="12" t="n">
        <v>61293</v>
      </c>
    </row>
    <row r="46" customFormat="false" ht="15" hidden="false" customHeight="false" outlineLevel="0" collapsed="false">
      <c r="A46" s="6" t="s">
        <v>92</v>
      </c>
      <c r="B46" s="11" t="n">
        <v>45870</v>
      </c>
      <c r="C46" s="6" t="s">
        <v>93</v>
      </c>
      <c r="D46" s="12" t="n">
        <v>83614</v>
      </c>
      <c r="E46" s="12" t="n">
        <v>32105</v>
      </c>
    </row>
    <row r="47" customFormat="false" ht="15" hidden="false" customHeight="false" outlineLevel="0" collapsed="false">
      <c r="A47" s="6" t="s">
        <v>92</v>
      </c>
      <c r="B47" s="11" t="n">
        <v>45870</v>
      </c>
      <c r="C47" s="6" t="s">
        <v>94</v>
      </c>
      <c r="D47" s="12" t="n">
        <v>53033</v>
      </c>
      <c r="E47" s="12" t="n">
        <v>29790</v>
      </c>
    </row>
    <row r="48" customFormat="false" ht="15" hidden="false" customHeight="false" outlineLevel="0" collapsed="false">
      <c r="A48" s="6" t="s">
        <v>92</v>
      </c>
      <c r="B48" s="11" t="n">
        <v>45870</v>
      </c>
      <c r="C48" s="6" t="s">
        <v>95</v>
      </c>
      <c r="D48" s="12" t="n">
        <v>68459</v>
      </c>
      <c r="E48" s="12" t="n">
        <v>53838</v>
      </c>
    </row>
    <row r="49" customFormat="false" ht="15" hidden="false" customHeight="false" outlineLevel="0" collapsed="false">
      <c r="A49" s="6" t="s">
        <v>92</v>
      </c>
      <c r="B49" s="11" t="n">
        <v>45870</v>
      </c>
      <c r="C49" s="6" t="s">
        <v>96</v>
      </c>
      <c r="D49" s="12" t="n">
        <v>91047</v>
      </c>
      <c r="E49" s="12" t="n">
        <v>55991</v>
      </c>
    </row>
    <row r="50" customFormat="false" ht="15" hidden="false" customHeight="false" outlineLevel="0" collapsed="false">
      <c r="A50" s="6" t="s">
        <v>92</v>
      </c>
      <c r="B50" s="11" t="n">
        <v>45870</v>
      </c>
      <c r="C50" s="6" t="s">
        <v>97</v>
      </c>
      <c r="D50" s="12" t="n">
        <v>47824</v>
      </c>
      <c r="E50" s="12" t="n">
        <v>16560</v>
      </c>
    </row>
    <row r="51" customFormat="false" ht="15" hidden="false" customHeight="false" outlineLevel="0" collapsed="false">
      <c r="A51" s="6" t="s">
        <v>92</v>
      </c>
      <c r="B51" s="11" t="n">
        <v>45870</v>
      </c>
      <c r="C51" s="6" t="s">
        <v>98</v>
      </c>
      <c r="D51" s="12" t="n">
        <v>91103</v>
      </c>
      <c r="E51" s="12" t="n">
        <v>66908</v>
      </c>
    </row>
    <row r="52" customFormat="false" ht="15" hidden="false" customHeight="false" outlineLevel="0" collapsed="false">
      <c r="A52" s="6" t="s">
        <v>92</v>
      </c>
      <c r="B52" s="11" t="n">
        <v>45901</v>
      </c>
      <c r="C52" s="6" t="s">
        <v>93</v>
      </c>
      <c r="D52" s="12" t="n">
        <v>73195</v>
      </c>
      <c r="E52" s="12" t="n">
        <v>28445</v>
      </c>
    </row>
    <row r="53" customFormat="false" ht="15" hidden="false" customHeight="false" outlineLevel="0" collapsed="false">
      <c r="A53" s="6" t="s">
        <v>92</v>
      </c>
      <c r="B53" s="11" t="n">
        <v>45901</v>
      </c>
      <c r="C53" s="6" t="s">
        <v>94</v>
      </c>
      <c r="D53" s="12" t="n">
        <v>58691</v>
      </c>
      <c r="E53" s="12" t="n">
        <v>29251</v>
      </c>
    </row>
    <row r="54" customFormat="false" ht="15" hidden="false" customHeight="false" outlineLevel="0" collapsed="false">
      <c r="A54" s="6" t="s">
        <v>92</v>
      </c>
      <c r="B54" s="11" t="n">
        <v>45901</v>
      </c>
      <c r="C54" s="6" t="s">
        <v>95</v>
      </c>
      <c r="D54" s="12" t="n">
        <v>69362</v>
      </c>
      <c r="E54" s="12" t="n">
        <v>53200</v>
      </c>
    </row>
    <row r="55" customFormat="false" ht="15" hidden="false" customHeight="false" outlineLevel="0" collapsed="false">
      <c r="A55" s="6" t="s">
        <v>92</v>
      </c>
      <c r="B55" s="11" t="n">
        <v>45901</v>
      </c>
      <c r="C55" s="6" t="s">
        <v>96</v>
      </c>
      <c r="D55" s="12" t="n">
        <v>92073</v>
      </c>
      <c r="E55" s="12" t="n">
        <v>56497</v>
      </c>
    </row>
    <row r="56" customFormat="false" ht="15" hidden="false" customHeight="false" outlineLevel="0" collapsed="false">
      <c r="A56" s="6" t="s">
        <v>92</v>
      </c>
      <c r="B56" s="11" t="n">
        <v>45901</v>
      </c>
      <c r="C56" s="6" t="s">
        <v>97</v>
      </c>
      <c r="D56" s="12" t="n">
        <v>50791</v>
      </c>
      <c r="E56" s="12" t="n">
        <v>18332</v>
      </c>
    </row>
    <row r="57" customFormat="false" ht="15" hidden="false" customHeight="false" outlineLevel="0" collapsed="false">
      <c r="A57" s="6" t="s">
        <v>92</v>
      </c>
      <c r="B57" s="11" t="n">
        <v>45901</v>
      </c>
      <c r="C57" s="6" t="s">
        <v>98</v>
      </c>
      <c r="D57" s="12" t="n">
        <v>79446</v>
      </c>
      <c r="E57" s="12" t="n">
        <v>58570</v>
      </c>
    </row>
    <row r="58" customFormat="false" ht="15" hidden="false" customHeight="false" outlineLevel="0" collapsed="false">
      <c r="A58" s="6" t="s">
        <v>92</v>
      </c>
      <c r="B58" s="11" t="n">
        <v>45931</v>
      </c>
      <c r="C58" s="6" t="s">
        <v>93</v>
      </c>
      <c r="D58" s="12" t="n">
        <v>84498</v>
      </c>
      <c r="E58" s="12" t="n">
        <v>35103</v>
      </c>
    </row>
    <row r="59" customFormat="false" ht="15" hidden="false" customHeight="false" outlineLevel="0" collapsed="false">
      <c r="A59" s="6" t="s">
        <v>92</v>
      </c>
      <c r="B59" s="11" t="n">
        <v>45931</v>
      </c>
      <c r="C59" s="6" t="s">
        <v>94</v>
      </c>
      <c r="D59" s="12" t="n">
        <v>59152</v>
      </c>
      <c r="E59" s="12" t="n">
        <v>29805</v>
      </c>
    </row>
    <row r="60" customFormat="false" ht="15" hidden="false" customHeight="false" outlineLevel="0" collapsed="false">
      <c r="A60" s="6" t="s">
        <v>92</v>
      </c>
      <c r="B60" s="11" t="n">
        <v>45931</v>
      </c>
      <c r="C60" s="6" t="s">
        <v>95</v>
      </c>
      <c r="D60" s="12" t="n">
        <v>65345</v>
      </c>
      <c r="E60" s="12" t="n">
        <v>48976</v>
      </c>
    </row>
    <row r="61" customFormat="false" ht="15" hidden="false" customHeight="false" outlineLevel="0" collapsed="false">
      <c r="A61" s="6" t="s">
        <v>92</v>
      </c>
      <c r="B61" s="11" t="n">
        <v>45931</v>
      </c>
      <c r="C61" s="6" t="s">
        <v>96</v>
      </c>
      <c r="D61" s="12" t="n">
        <v>90865</v>
      </c>
      <c r="E61" s="12" t="n">
        <v>57722</v>
      </c>
    </row>
    <row r="62" customFormat="false" ht="15" hidden="false" customHeight="false" outlineLevel="0" collapsed="false">
      <c r="A62" s="6" t="s">
        <v>92</v>
      </c>
      <c r="B62" s="11" t="n">
        <v>45931</v>
      </c>
      <c r="C62" s="6" t="s">
        <v>97</v>
      </c>
      <c r="D62" s="12" t="n">
        <v>55916</v>
      </c>
      <c r="E62" s="12" t="n">
        <v>20137</v>
      </c>
    </row>
    <row r="63" customFormat="false" ht="15" hidden="false" customHeight="false" outlineLevel="0" collapsed="false">
      <c r="A63" s="6" t="s">
        <v>92</v>
      </c>
      <c r="B63" s="11" t="n">
        <v>45931</v>
      </c>
      <c r="C63" s="6" t="s">
        <v>98</v>
      </c>
      <c r="D63" s="12" t="n">
        <v>95783</v>
      </c>
      <c r="E63" s="12" t="n">
        <v>73151</v>
      </c>
    </row>
    <row r="64" customFormat="false" ht="15" hidden="false" customHeight="false" outlineLevel="0" collapsed="false">
      <c r="A64" s="6" t="s">
        <v>92</v>
      </c>
      <c r="B64" s="11" t="n">
        <v>45962</v>
      </c>
      <c r="C64" s="6" t="s">
        <v>93</v>
      </c>
      <c r="D64" s="12" t="n">
        <v>84316</v>
      </c>
      <c r="E64" s="12" t="n">
        <v>35131</v>
      </c>
    </row>
    <row r="65" customFormat="false" ht="15" hidden="false" customHeight="false" outlineLevel="0" collapsed="false">
      <c r="A65" s="6" t="s">
        <v>92</v>
      </c>
      <c r="B65" s="11" t="n">
        <v>45962</v>
      </c>
      <c r="C65" s="6" t="s">
        <v>94</v>
      </c>
      <c r="D65" s="12" t="n">
        <v>57636</v>
      </c>
      <c r="E65" s="12" t="n">
        <v>30267</v>
      </c>
    </row>
    <row r="66" customFormat="false" ht="15" hidden="false" customHeight="false" outlineLevel="0" collapsed="false">
      <c r="A66" s="6" t="s">
        <v>92</v>
      </c>
      <c r="B66" s="11" t="n">
        <v>45962</v>
      </c>
      <c r="C66" s="6" t="s">
        <v>95</v>
      </c>
      <c r="D66" s="12" t="n">
        <v>73242</v>
      </c>
      <c r="E66" s="12" t="n">
        <v>55959</v>
      </c>
    </row>
    <row r="67" customFormat="false" ht="15" hidden="false" customHeight="false" outlineLevel="0" collapsed="false">
      <c r="A67" s="6" t="s">
        <v>92</v>
      </c>
      <c r="B67" s="11" t="n">
        <v>45962</v>
      </c>
      <c r="C67" s="6" t="s">
        <v>96</v>
      </c>
      <c r="D67" s="12" t="n">
        <v>101965</v>
      </c>
      <c r="E67" s="12" t="n">
        <v>69304</v>
      </c>
    </row>
    <row r="68" customFormat="false" ht="15" hidden="false" customHeight="false" outlineLevel="0" collapsed="false">
      <c r="A68" s="6" t="s">
        <v>92</v>
      </c>
      <c r="B68" s="11" t="n">
        <v>45962</v>
      </c>
      <c r="C68" s="6" t="s">
        <v>97</v>
      </c>
      <c r="D68" s="12" t="n">
        <v>53117</v>
      </c>
      <c r="E68" s="12" t="n">
        <v>16846</v>
      </c>
    </row>
    <row r="69" customFormat="false" ht="15" hidden="false" customHeight="false" outlineLevel="0" collapsed="false">
      <c r="A69" s="6" t="s">
        <v>92</v>
      </c>
      <c r="B69" s="11" t="n">
        <v>45962</v>
      </c>
      <c r="C69" s="6" t="s">
        <v>98</v>
      </c>
      <c r="D69" s="12" t="n">
        <v>84752</v>
      </c>
      <c r="E69" s="12" t="n">
        <v>59378</v>
      </c>
    </row>
    <row r="70" customFormat="false" ht="15" hidden="false" customHeight="false" outlineLevel="0" collapsed="false">
      <c r="A70" s="6" t="s">
        <v>92</v>
      </c>
      <c r="B70" s="11" t="n">
        <v>45992</v>
      </c>
      <c r="C70" s="6" t="s">
        <v>93</v>
      </c>
      <c r="D70" s="12" t="n">
        <v>84944</v>
      </c>
      <c r="E70" s="12" t="n">
        <v>34446</v>
      </c>
    </row>
    <row r="71" customFormat="false" ht="15" hidden="false" customHeight="false" outlineLevel="0" collapsed="false">
      <c r="A71" s="6" t="s">
        <v>92</v>
      </c>
      <c r="B71" s="11" t="n">
        <v>45992</v>
      </c>
      <c r="C71" s="6" t="s">
        <v>94</v>
      </c>
      <c r="D71" s="12" t="n">
        <v>61673</v>
      </c>
      <c r="E71" s="12" t="n">
        <v>32937</v>
      </c>
    </row>
    <row r="72" customFormat="false" ht="15" hidden="false" customHeight="false" outlineLevel="0" collapsed="false">
      <c r="A72" s="6" t="s">
        <v>92</v>
      </c>
      <c r="B72" s="11" t="n">
        <v>45992</v>
      </c>
      <c r="C72" s="6" t="s">
        <v>95</v>
      </c>
      <c r="D72" s="12" t="n">
        <v>78641</v>
      </c>
      <c r="E72" s="12" t="n">
        <v>62398</v>
      </c>
    </row>
    <row r="73" customFormat="false" ht="15" hidden="false" customHeight="false" outlineLevel="0" collapsed="false">
      <c r="A73" s="6" t="s">
        <v>92</v>
      </c>
      <c r="B73" s="11" t="n">
        <v>45992</v>
      </c>
      <c r="C73" s="6" t="s">
        <v>96</v>
      </c>
      <c r="D73" s="12" t="n">
        <v>110154</v>
      </c>
      <c r="E73" s="12" t="n">
        <v>70673</v>
      </c>
    </row>
    <row r="74" customFormat="false" ht="15" hidden="false" customHeight="false" outlineLevel="0" collapsed="false">
      <c r="A74" s="6" t="s">
        <v>92</v>
      </c>
      <c r="B74" s="11" t="n">
        <v>45992</v>
      </c>
      <c r="C74" s="6" t="s">
        <v>97</v>
      </c>
      <c r="D74" s="12" t="n">
        <v>61272</v>
      </c>
      <c r="E74" s="12" t="n">
        <v>20641</v>
      </c>
    </row>
    <row r="75" customFormat="false" ht="15" hidden="false" customHeight="false" outlineLevel="0" collapsed="false">
      <c r="A75" s="6" t="s">
        <v>92</v>
      </c>
      <c r="B75" s="11" t="n">
        <v>45992</v>
      </c>
      <c r="C75" s="6" t="s">
        <v>98</v>
      </c>
      <c r="D75" s="12" t="n">
        <v>100086</v>
      </c>
      <c r="E75" s="12" t="n">
        <v>72854</v>
      </c>
    </row>
    <row r="76" customFormat="false" ht="15" hidden="false" customHeight="false" outlineLevel="0" collapsed="false">
      <c r="A76" s="6" t="s">
        <v>99</v>
      </c>
      <c r="B76" s="11" t="n">
        <v>45658</v>
      </c>
      <c r="C76" s="6" t="s">
        <v>93</v>
      </c>
      <c r="D76" s="12" t="n">
        <v>45905</v>
      </c>
      <c r="E76" s="12" t="n">
        <v>17816</v>
      </c>
    </row>
    <row r="77" customFormat="false" ht="15" hidden="false" customHeight="false" outlineLevel="0" collapsed="false">
      <c r="A77" s="6" t="s">
        <v>99</v>
      </c>
      <c r="B77" s="11" t="n">
        <v>45658</v>
      </c>
      <c r="C77" s="6" t="s">
        <v>94</v>
      </c>
      <c r="D77" s="12" t="n">
        <v>32068</v>
      </c>
      <c r="E77" s="12" t="n">
        <v>16030</v>
      </c>
    </row>
    <row r="78" customFormat="false" ht="15" hidden="false" customHeight="false" outlineLevel="0" collapsed="false">
      <c r="A78" s="6" t="s">
        <v>99</v>
      </c>
      <c r="B78" s="11" t="n">
        <v>45658</v>
      </c>
      <c r="C78" s="6" t="s">
        <v>95</v>
      </c>
      <c r="D78" s="12" t="n">
        <v>45396</v>
      </c>
      <c r="E78" s="12" t="n">
        <v>34509</v>
      </c>
    </row>
    <row r="79" customFormat="false" ht="15" hidden="false" customHeight="false" outlineLevel="0" collapsed="false">
      <c r="A79" s="6" t="s">
        <v>99</v>
      </c>
      <c r="B79" s="11" t="n">
        <v>45658</v>
      </c>
      <c r="C79" s="6" t="s">
        <v>96</v>
      </c>
      <c r="D79" s="12" t="n">
        <v>59228</v>
      </c>
      <c r="E79" s="12" t="n">
        <v>37084</v>
      </c>
    </row>
    <row r="80" customFormat="false" ht="15" hidden="false" customHeight="false" outlineLevel="0" collapsed="false">
      <c r="A80" s="6" t="s">
        <v>99</v>
      </c>
      <c r="B80" s="11" t="n">
        <v>45658</v>
      </c>
      <c r="C80" s="6" t="s">
        <v>97</v>
      </c>
      <c r="D80" s="12" t="n">
        <v>31937</v>
      </c>
      <c r="E80" s="12" t="n">
        <v>11391</v>
      </c>
    </row>
    <row r="81" customFormat="false" ht="15" hidden="false" customHeight="false" outlineLevel="0" collapsed="false">
      <c r="A81" s="6" t="s">
        <v>99</v>
      </c>
      <c r="B81" s="11" t="n">
        <v>45658</v>
      </c>
      <c r="C81" s="6" t="s">
        <v>98</v>
      </c>
      <c r="D81" s="12" t="n">
        <v>50548</v>
      </c>
      <c r="E81" s="12" t="n">
        <v>37509</v>
      </c>
    </row>
    <row r="82" customFormat="false" ht="15" hidden="false" customHeight="false" outlineLevel="0" collapsed="false">
      <c r="A82" s="6" t="s">
        <v>99</v>
      </c>
      <c r="B82" s="11" t="n">
        <v>45689</v>
      </c>
      <c r="C82" s="6" t="s">
        <v>93</v>
      </c>
      <c r="D82" s="12" t="n">
        <v>44547</v>
      </c>
      <c r="E82" s="12" t="n">
        <v>17071</v>
      </c>
    </row>
    <row r="83" customFormat="false" ht="15" hidden="false" customHeight="false" outlineLevel="0" collapsed="false">
      <c r="A83" s="6" t="s">
        <v>99</v>
      </c>
      <c r="B83" s="11" t="n">
        <v>45689</v>
      </c>
      <c r="C83" s="6" t="s">
        <v>94</v>
      </c>
      <c r="D83" s="12" t="n">
        <v>32819</v>
      </c>
      <c r="E83" s="12" t="n">
        <v>17689</v>
      </c>
    </row>
    <row r="84" customFormat="false" ht="15" hidden="false" customHeight="false" outlineLevel="0" collapsed="false">
      <c r="A84" s="6" t="s">
        <v>99</v>
      </c>
      <c r="B84" s="11" t="n">
        <v>45689</v>
      </c>
      <c r="C84" s="6" t="s">
        <v>95</v>
      </c>
      <c r="D84" s="12" t="n">
        <v>40370</v>
      </c>
      <c r="E84" s="12" t="n">
        <v>29659</v>
      </c>
    </row>
    <row r="85" customFormat="false" ht="15" hidden="false" customHeight="false" outlineLevel="0" collapsed="false">
      <c r="A85" s="6" t="s">
        <v>99</v>
      </c>
      <c r="B85" s="11" t="n">
        <v>45689</v>
      </c>
      <c r="C85" s="6" t="s">
        <v>96</v>
      </c>
      <c r="D85" s="12" t="n">
        <v>54168</v>
      </c>
      <c r="E85" s="12" t="n">
        <v>34435</v>
      </c>
    </row>
    <row r="86" customFormat="false" ht="15" hidden="false" customHeight="false" outlineLevel="0" collapsed="false">
      <c r="A86" s="6" t="s">
        <v>99</v>
      </c>
      <c r="B86" s="11" t="n">
        <v>45689</v>
      </c>
      <c r="C86" s="6" t="s">
        <v>97</v>
      </c>
      <c r="D86" s="12" t="n">
        <v>28844</v>
      </c>
      <c r="E86" s="12" t="n">
        <v>10319</v>
      </c>
    </row>
    <row r="87" customFormat="false" ht="15" hidden="false" customHeight="false" outlineLevel="0" collapsed="false">
      <c r="A87" s="6" t="s">
        <v>99</v>
      </c>
      <c r="B87" s="11" t="n">
        <v>45689</v>
      </c>
      <c r="C87" s="6" t="s">
        <v>98</v>
      </c>
      <c r="D87" s="12" t="n">
        <v>46664</v>
      </c>
      <c r="E87" s="12" t="n">
        <v>35120</v>
      </c>
    </row>
    <row r="88" customFormat="false" ht="15" hidden="false" customHeight="false" outlineLevel="0" collapsed="false">
      <c r="A88" s="6" t="s">
        <v>99</v>
      </c>
      <c r="B88" s="11" t="n">
        <v>45717</v>
      </c>
      <c r="C88" s="6" t="s">
        <v>93</v>
      </c>
      <c r="D88" s="12" t="n">
        <v>48856</v>
      </c>
      <c r="E88" s="12" t="n">
        <v>19143</v>
      </c>
    </row>
    <row r="89" customFormat="false" ht="15" hidden="false" customHeight="false" outlineLevel="0" collapsed="false">
      <c r="A89" s="6" t="s">
        <v>99</v>
      </c>
      <c r="B89" s="11" t="n">
        <v>45717</v>
      </c>
      <c r="C89" s="6" t="s">
        <v>94</v>
      </c>
      <c r="D89" s="12" t="n">
        <v>37491</v>
      </c>
      <c r="E89" s="12" t="n">
        <v>21039</v>
      </c>
    </row>
    <row r="90" customFormat="false" ht="15" hidden="false" customHeight="false" outlineLevel="0" collapsed="false">
      <c r="A90" s="6" t="s">
        <v>99</v>
      </c>
      <c r="B90" s="11" t="n">
        <v>45717</v>
      </c>
      <c r="C90" s="6" t="s">
        <v>95</v>
      </c>
      <c r="D90" s="12" t="n">
        <v>45023</v>
      </c>
      <c r="E90" s="12" t="n">
        <v>35583</v>
      </c>
    </row>
    <row r="91" customFormat="false" ht="15" hidden="false" customHeight="false" outlineLevel="0" collapsed="false">
      <c r="A91" s="6" t="s">
        <v>99</v>
      </c>
      <c r="B91" s="11" t="n">
        <v>45717</v>
      </c>
      <c r="C91" s="6" t="s">
        <v>96</v>
      </c>
      <c r="D91" s="12" t="n">
        <v>60947</v>
      </c>
      <c r="E91" s="12" t="n">
        <v>39288</v>
      </c>
    </row>
    <row r="92" customFormat="false" ht="15" hidden="false" customHeight="false" outlineLevel="0" collapsed="false">
      <c r="A92" s="6" t="s">
        <v>99</v>
      </c>
      <c r="B92" s="11" t="n">
        <v>45717</v>
      </c>
      <c r="C92" s="6" t="s">
        <v>97</v>
      </c>
      <c r="D92" s="12" t="n">
        <v>35930</v>
      </c>
      <c r="E92" s="12" t="n">
        <v>12908</v>
      </c>
    </row>
    <row r="93" customFormat="false" ht="15" hidden="false" customHeight="false" outlineLevel="0" collapsed="false">
      <c r="A93" s="6" t="s">
        <v>99</v>
      </c>
      <c r="B93" s="11" t="n">
        <v>45717</v>
      </c>
      <c r="C93" s="6" t="s">
        <v>98</v>
      </c>
      <c r="D93" s="12" t="n">
        <v>60153</v>
      </c>
      <c r="E93" s="12" t="n">
        <v>45126</v>
      </c>
    </row>
    <row r="94" customFormat="false" ht="15" hidden="false" customHeight="false" outlineLevel="0" collapsed="false">
      <c r="A94" s="6" t="s">
        <v>99</v>
      </c>
      <c r="B94" s="11" t="n">
        <v>45748</v>
      </c>
      <c r="C94" s="6" t="s">
        <v>93</v>
      </c>
      <c r="D94" s="12" t="n">
        <v>58159</v>
      </c>
      <c r="E94" s="12" t="n">
        <v>23802</v>
      </c>
    </row>
    <row r="95" customFormat="false" ht="15" hidden="false" customHeight="false" outlineLevel="0" collapsed="false">
      <c r="A95" s="6" t="s">
        <v>99</v>
      </c>
      <c r="B95" s="11" t="n">
        <v>45748</v>
      </c>
      <c r="C95" s="6" t="s">
        <v>94</v>
      </c>
      <c r="D95" s="12" t="n">
        <v>35214</v>
      </c>
      <c r="E95" s="12" t="n">
        <v>17798</v>
      </c>
    </row>
    <row r="96" customFormat="false" ht="15" hidden="false" customHeight="false" outlineLevel="0" collapsed="false">
      <c r="A96" s="6" t="s">
        <v>99</v>
      </c>
      <c r="B96" s="11" t="n">
        <v>45748</v>
      </c>
      <c r="C96" s="6" t="s">
        <v>95</v>
      </c>
      <c r="D96" s="12" t="n">
        <v>44814</v>
      </c>
      <c r="E96" s="12" t="n">
        <v>34553</v>
      </c>
    </row>
    <row r="97" customFormat="false" ht="15" hidden="false" customHeight="false" outlineLevel="0" collapsed="false">
      <c r="A97" s="6" t="s">
        <v>99</v>
      </c>
      <c r="B97" s="11" t="n">
        <v>45748</v>
      </c>
      <c r="C97" s="6" t="s">
        <v>96</v>
      </c>
      <c r="D97" s="12" t="n">
        <v>57821</v>
      </c>
      <c r="E97" s="12" t="n">
        <v>35445</v>
      </c>
    </row>
    <row r="98" customFormat="false" ht="15" hidden="false" customHeight="false" outlineLevel="0" collapsed="false">
      <c r="A98" s="6" t="s">
        <v>99</v>
      </c>
      <c r="B98" s="11" t="n">
        <v>45748</v>
      </c>
      <c r="C98" s="6" t="s">
        <v>97</v>
      </c>
      <c r="D98" s="12" t="n">
        <v>31838</v>
      </c>
      <c r="E98" s="12" t="n">
        <v>10218</v>
      </c>
    </row>
    <row r="99" customFormat="false" ht="15" hidden="false" customHeight="false" outlineLevel="0" collapsed="false">
      <c r="A99" s="6" t="s">
        <v>99</v>
      </c>
      <c r="B99" s="11" t="n">
        <v>45748</v>
      </c>
      <c r="C99" s="6" t="s">
        <v>98</v>
      </c>
      <c r="D99" s="12" t="n">
        <v>56927</v>
      </c>
      <c r="E99" s="12" t="n">
        <v>40740</v>
      </c>
    </row>
    <row r="100" customFormat="false" ht="15" hidden="false" customHeight="false" outlineLevel="0" collapsed="false">
      <c r="A100" s="6" t="s">
        <v>99</v>
      </c>
      <c r="B100" s="11" t="n">
        <v>45778</v>
      </c>
      <c r="C100" s="6" t="s">
        <v>93</v>
      </c>
      <c r="D100" s="12" t="n">
        <v>52560</v>
      </c>
      <c r="E100" s="12" t="n">
        <v>23848</v>
      </c>
    </row>
    <row r="101" customFormat="false" ht="15" hidden="false" customHeight="false" outlineLevel="0" collapsed="false">
      <c r="A101" s="6" t="s">
        <v>99</v>
      </c>
      <c r="B101" s="11" t="n">
        <v>45778</v>
      </c>
      <c r="C101" s="6" t="s">
        <v>94</v>
      </c>
      <c r="D101" s="12" t="n">
        <v>43394</v>
      </c>
      <c r="E101" s="12" t="n">
        <v>22462</v>
      </c>
    </row>
    <row r="102" customFormat="false" ht="15" hidden="false" customHeight="false" outlineLevel="0" collapsed="false">
      <c r="A102" s="6" t="s">
        <v>99</v>
      </c>
      <c r="B102" s="11" t="n">
        <v>45778</v>
      </c>
      <c r="C102" s="6" t="s">
        <v>95</v>
      </c>
      <c r="D102" s="12" t="n">
        <v>45298</v>
      </c>
      <c r="E102" s="12" t="n">
        <v>32701</v>
      </c>
    </row>
    <row r="103" customFormat="false" ht="15" hidden="false" customHeight="false" outlineLevel="0" collapsed="false">
      <c r="A103" s="6" t="s">
        <v>99</v>
      </c>
      <c r="B103" s="11" t="n">
        <v>45778</v>
      </c>
      <c r="C103" s="6" t="s">
        <v>96</v>
      </c>
      <c r="D103" s="12" t="n">
        <v>69616</v>
      </c>
      <c r="E103" s="12" t="n">
        <v>46322</v>
      </c>
    </row>
    <row r="104" customFormat="false" ht="15" hidden="false" customHeight="false" outlineLevel="0" collapsed="false">
      <c r="A104" s="6" t="s">
        <v>99</v>
      </c>
      <c r="B104" s="11" t="n">
        <v>45778</v>
      </c>
      <c r="C104" s="6" t="s">
        <v>97</v>
      </c>
      <c r="D104" s="12" t="n">
        <v>32402</v>
      </c>
      <c r="E104" s="12" t="n">
        <v>10729</v>
      </c>
    </row>
    <row r="105" customFormat="false" ht="15" hidden="false" customHeight="false" outlineLevel="0" collapsed="false">
      <c r="A105" s="6" t="s">
        <v>99</v>
      </c>
      <c r="B105" s="11" t="n">
        <v>45778</v>
      </c>
      <c r="C105" s="6" t="s">
        <v>98</v>
      </c>
      <c r="D105" s="12" t="n">
        <v>55763</v>
      </c>
      <c r="E105" s="12" t="n">
        <v>39673</v>
      </c>
    </row>
    <row r="106" customFormat="false" ht="15" hidden="false" customHeight="false" outlineLevel="0" collapsed="false">
      <c r="A106" s="6" t="s">
        <v>99</v>
      </c>
      <c r="B106" s="11" t="n">
        <v>45809</v>
      </c>
      <c r="C106" s="6" t="s">
        <v>93</v>
      </c>
      <c r="D106" s="12" t="n">
        <v>53535</v>
      </c>
      <c r="E106" s="12" t="n">
        <v>21589</v>
      </c>
    </row>
    <row r="107" customFormat="false" ht="15" hidden="false" customHeight="false" outlineLevel="0" collapsed="false">
      <c r="A107" s="6" t="s">
        <v>99</v>
      </c>
      <c r="B107" s="11" t="n">
        <v>45809</v>
      </c>
      <c r="C107" s="6" t="s">
        <v>94</v>
      </c>
      <c r="D107" s="12" t="n">
        <v>39916</v>
      </c>
      <c r="E107" s="12" t="n">
        <v>20291</v>
      </c>
    </row>
    <row r="108" customFormat="false" ht="15" hidden="false" customHeight="false" outlineLevel="0" collapsed="false">
      <c r="A108" s="6" t="s">
        <v>99</v>
      </c>
      <c r="B108" s="11" t="n">
        <v>45809</v>
      </c>
      <c r="C108" s="6" t="s">
        <v>95</v>
      </c>
      <c r="D108" s="12" t="n">
        <v>50720</v>
      </c>
      <c r="E108" s="12" t="n">
        <v>38130</v>
      </c>
    </row>
    <row r="109" customFormat="false" ht="15" hidden="false" customHeight="false" outlineLevel="0" collapsed="false">
      <c r="A109" s="6" t="s">
        <v>99</v>
      </c>
      <c r="B109" s="11" t="n">
        <v>45809</v>
      </c>
      <c r="C109" s="6" t="s">
        <v>96</v>
      </c>
      <c r="D109" s="12" t="n">
        <v>64349</v>
      </c>
      <c r="E109" s="12" t="n">
        <v>42075</v>
      </c>
    </row>
    <row r="110" customFormat="false" ht="15" hidden="false" customHeight="false" outlineLevel="0" collapsed="false">
      <c r="A110" s="6" t="s">
        <v>99</v>
      </c>
      <c r="B110" s="11" t="n">
        <v>45809</v>
      </c>
      <c r="C110" s="6" t="s">
        <v>97</v>
      </c>
      <c r="D110" s="12" t="n">
        <v>32645</v>
      </c>
      <c r="E110" s="12" t="n">
        <v>12164</v>
      </c>
    </row>
    <row r="111" customFormat="false" ht="15" hidden="false" customHeight="false" outlineLevel="0" collapsed="false">
      <c r="A111" s="6" t="s">
        <v>99</v>
      </c>
      <c r="B111" s="11" t="n">
        <v>45809</v>
      </c>
      <c r="C111" s="6" t="s">
        <v>98</v>
      </c>
      <c r="D111" s="12" t="n">
        <v>63265</v>
      </c>
      <c r="E111" s="12" t="n">
        <v>47671</v>
      </c>
    </row>
    <row r="112" customFormat="false" ht="15" hidden="false" customHeight="false" outlineLevel="0" collapsed="false">
      <c r="A112" s="6" t="s">
        <v>99</v>
      </c>
      <c r="B112" s="11" t="n">
        <v>45839</v>
      </c>
      <c r="C112" s="6" t="s">
        <v>93</v>
      </c>
      <c r="D112" s="12" t="n">
        <v>57080</v>
      </c>
      <c r="E112" s="12" t="n">
        <v>24810</v>
      </c>
    </row>
    <row r="113" customFormat="false" ht="15" hidden="false" customHeight="false" outlineLevel="0" collapsed="false">
      <c r="A113" s="6" t="s">
        <v>99</v>
      </c>
      <c r="B113" s="11" t="n">
        <v>45839</v>
      </c>
      <c r="C113" s="6" t="s">
        <v>94</v>
      </c>
      <c r="D113" s="12" t="n">
        <v>43347</v>
      </c>
      <c r="E113" s="12" t="n">
        <v>22858</v>
      </c>
    </row>
    <row r="114" customFormat="false" ht="15" hidden="false" customHeight="false" outlineLevel="0" collapsed="false">
      <c r="A114" s="6" t="s">
        <v>99</v>
      </c>
      <c r="B114" s="11" t="n">
        <v>45839</v>
      </c>
      <c r="C114" s="6" t="s">
        <v>95</v>
      </c>
      <c r="D114" s="12" t="n">
        <v>54926</v>
      </c>
      <c r="E114" s="12" t="n">
        <v>42025</v>
      </c>
    </row>
    <row r="115" customFormat="false" ht="15" hidden="false" customHeight="false" outlineLevel="0" collapsed="false">
      <c r="A115" s="6" t="s">
        <v>99</v>
      </c>
      <c r="B115" s="11" t="n">
        <v>45839</v>
      </c>
      <c r="C115" s="6" t="s">
        <v>96</v>
      </c>
      <c r="D115" s="12" t="n">
        <v>66080</v>
      </c>
      <c r="E115" s="12" t="n">
        <v>41492</v>
      </c>
    </row>
    <row r="116" customFormat="false" ht="15" hidden="false" customHeight="false" outlineLevel="0" collapsed="false">
      <c r="A116" s="6" t="s">
        <v>99</v>
      </c>
      <c r="B116" s="11" t="n">
        <v>45839</v>
      </c>
      <c r="C116" s="6" t="s">
        <v>97</v>
      </c>
      <c r="D116" s="12" t="n">
        <v>39732</v>
      </c>
      <c r="E116" s="12" t="n">
        <v>12157</v>
      </c>
    </row>
    <row r="117" customFormat="false" ht="15" hidden="false" customHeight="false" outlineLevel="0" collapsed="false">
      <c r="A117" s="6" t="s">
        <v>99</v>
      </c>
      <c r="B117" s="11" t="n">
        <v>45839</v>
      </c>
      <c r="C117" s="6" t="s">
        <v>98</v>
      </c>
      <c r="D117" s="12" t="n">
        <v>61111</v>
      </c>
      <c r="E117" s="12" t="n">
        <v>42722</v>
      </c>
    </row>
    <row r="118" customFormat="false" ht="15" hidden="false" customHeight="false" outlineLevel="0" collapsed="false">
      <c r="A118" s="6" t="s">
        <v>99</v>
      </c>
      <c r="B118" s="11" t="n">
        <v>45870</v>
      </c>
      <c r="C118" s="6" t="s">
        <v>93</v>
      </c>
      <c r="D118" s="12" t="n">
        <v>65556</v>
      </c>
      <c r="E118" s="12" t="n">
        <v>25004</v>
      </c>
    </row>
    <row r="119" customFormat="false" ht="15" hidden="false" customHeight="false" outlineLevel="0" collapsed="false">
      <c r="A119" s="6" t="s">
        <v>99</v>
      </c>
      <c r="B119" s="11" t="n">
        <v>45870</v>
      </c>
      <c r="C119" s="6" t="s">
        <v>94</v>
      </c>
      <c r="D119" s="12" t="n">
        <v>40458</v>
      </c>
      <c r="E119" s="12" t="n">
        <v>21831</v>
      </c>
    </row>
    <row r="120" customFormat="false" ht="15" hidden="false" customHeight="false" outlineLevel="0" collapsed="false">
      <c r="A120" s="6" t="s">
        <v>99</v>
      </c>
      <c r="B120" s="11" t="n">
        <v>45870</v>
      </c>
      <c r="C120" s="6" t="s">
        <v>95</v>
      </c>
      <c r="D120" s="12" t="n">
        <v>55797</v>
      </c>
      <c r="E120" s="12" t="n">
        <v>40928</v>
      </c>
    </row>
    <row r="121" customFormat="false" ht="15" hidden="false" customHeight="false" outlineLevel="0" collapsed="false">
      <c r="A121" s="6" t="s">
        <v>99</v>
      </c>
      <c r="B121" s="11" t="n">
        <v>45870</v>
      </c>
      <c r="C121" s="6" t="s">
        <v>96</v>
      </c>
      <c r="D121" s="12" t="n">
        <v>63687</v>
      </c>
      <c r="E121" s="12" t="n">
        <v>41294</v>
      </c>
    </row>
    <row r="122" customFormat="false" ht="15" hidden="false" customHeight="false" outlineLevel="0" collapsed="false">
      <c r="A122" s="6" t="s">
        <v>99</v>
      </c>
      <c r="B122" s="11" t="n">
        <v>45870</v>
      </c>
      <c r="C122" s="6" t="s">
        <v>97</v>
      </c>
      <c r="D122" s="12" t="n">
        <v>40851</v>
      </c>
      <c r="E122" s="12" t="n">
        <v>13045</v>
      </c>
    </row>
    <row r="123" customFormat="false" ht="15" hidden="false" customHeight="false" outlineLevel="0" collapsed="false">
      <c r="A123" s="6" t="s">
        <v>99</v>
      </c>
      <c r="B123" s="11" t="n">
        <v>45870</v>
      </c>
      <c r="C123" s="6" t="s">
        <v>98</v>
      </c>
      <c r="D123" s="12" t="n">
        <v>66008</v>
      </c>
      <c r="E123" s="12" t="n">
        <v>49714</v>
      </c>
    </row>
    <row r="124" customFormat="false" ht="15" hidden="false" customHeight="false" outlineLevel="0" collapsed="false">
      <c r="A124" s="6" t="s">
        <v>99</v>
      </c>
      <c r="B124" s="11" t="n">
        <v>45901</v>
      </c>
      <c r="C124" s="6" t="s">
        <v>93</v>
      </c>
      <c r="D124" s="12" t="n">
        <v>57715</v>
      </c>
      <c r="E124" s="12" t="n">
        <v>26279</v>
      </c>
    </row>
    <row r="125" customFormat="false" ht="15" hidden="false" customHeight="false" outlineLevel="0" collapsed="false">
      <c r="A125" s="6" t="s">
        <v>99</v>
      </c>
      <c r="B125" s="11" t="n">
        <v>45901</v>
      </c>
      <c r="C125" s="6" t="s">
        <v>94</v>
      </c>
      <c r="D125" s="12" t="n">
        <v>41393</v>
      </c>
      <c r="E125" s="12" t="n">
        <v>22179</v>
      </c>
    </row>
    <row r="126" customFormat="false" ht="15" hidden="false" customHeight="false" outlineLevel="0" collapsed="false">
      <c r="A126" s="6" t="s">
        <v>99</v>
      </c>
      <c r="B126" s="11" t="n">
        <v>45901</v>
      </c>
      <c r="C126" s="6" t="s">
        <v>95</v>
      </c>
      <c r="D126" s="12" t="n">
        <v>55385</v>
      </c>
      <c r="E126" s="12" t="n">
        <v>41697</v>
      </c>
    </row>
    <row r="127" customFormat="false" ht="15" hidden="false" customHeight="false" outlineLevel="0" collapsed="false">
      <c r="A127" s="6" t="s">
        <v>99</v>
      </c>
      <c r="B127" s="11" t="n">
        <v>45901</v>
      </c>
      <c r="C127" s="6" t="s">
        <v>96</v>
      </c>
      <c r="D127" s="12" t="n">
        <v>67808</v>
      </c>
      <c r="E127" s="12" t="n">
        <v>44775</v>
      </c>
    </row>
    <row r="128" customFormat="false" ht="15" hidden="false" customHeight="false" outlineLevel="0" collapsed="false">
      <c r="A128" s="6" t="s">
        <v>99</v>
      </c>
      <c r="B128" s="11" t="n">
        <v>45901</v>
      </c>
      <c r="C128" s="6" t="s">
        <v>97</v>
      </c>
      <c r="D128" s="12" t="n">
        <v>37033</v>
      </c>
      <c r="E128" s="12" t="n">
        <v>12085</v>
      </c>
    </row>
    <row r="129" customFormat="false" ht="15" hidden="false" customHeight="false" outlineLevel="0" collapsed="false">
      <c r="A129" s="6" t="s">
        <v>99</v>
      </c>
      <c r="B129" s="11" t="n">
        <v>45901</v>
      </c>
      <c r="C129" s="6" t="s">
        <v>98</v>
      </c>
      <c r="D129" s="12" t="n">
        <v>63762</v>
      </c>
      <c r="E129" s="12" t="n">
        <v>48214</v>
      </c>
    </row>
    <row r="130" customFormat="false" ht="15" hidden="false" customHeight="false" outlineLevel="0" collapsed="false">
      <c r="A130" s="6" t="s">
        <v>99</v>
      </c>
      <c r="B130" s="11" t="n">
        <v>45931</v>
      </c>
      <c r="C130" s="6" t="s">
        <v>93</v>
      </c>
      <c r="D130" s="12" t="n">
        <v>66469</v>
      </c>
      <c r="E130" s="12" t="n">
        <v>27515</v>
      </c>
    </row>
    <row r="131" customFormat="false" ht="15" hidden="false" customHeight="false" outlineLevel="0" collapsed="false">
      <c r="A131" s="6" t="s">
        <v>99</v>
      </c>
      <c r="B131" s="11" t="n">
        <v>45931</v>
      </c>
      <c r="C131" s="6" t="s">
        <v>94</v>
      </c>
      <c r="D131" s="12" t="n">
        <v>49904</v>
      </c>
      <c r="E131" s="12" t="n">
        <v>26304</v>
      </c>
    </row>
    <row r="132" customFormat="false" ht="15" hidden="false" customHeight="false" outlineLevel="0" collapsed="false">
      <c r="A132" s="6" t="s">
        <v>99</v>
      </c>
      <c r="B132" s="11" t="n">
        <v>45931</v>
      </c>
      <c r="C132" s="6" t="s">
        <v>95</v>
      </c>
      <c r="D132" s="12" t="n">
        <v>56604</v>
      </c>
      <c r="E132" s="12" t="n">
        <v>43347</v>
      </c>
    </row>
    <row r="133" customFormat="false" ht="15" hidden="false" customHeight="false" outlineLevel="0" collapsed="false">
      <c r="A133" s="6" t="s">
        <v>99</v>
      </c>
      <c r="B133" s="11" t="n">
        <v>45931</v>
      </c>
      <c r="C133" s="6" t="s">
        <v>96</v>
      </c>
      <c r="D133" s="12" t="n">
        <v>74846</v>
      </c>
      <c r="E133" s="12" t="n">
        <v>45394</v>
      </c>
    </row>
    <row r="134" customFormat="false" ht="15" hidden="false" customHeight="false" outlineLevel="0" collapsed="false">
      <c r="A134" s="6" t="s">
        <v>99</v>
      </c>
      <c r="B134" s="11" t="n">
        <v>45931</v>
      </c>
      <c r="C134" s="6" t="s">
        <v>97</v>
      </c>
      <c r="D134" s="12" t="n">
        <v>44763</v>
      </c>
      <c r="E134" s="12" t="n">
        <v>14643</v>
      </c>
    </row>
    <row r="135" customFormat="false" ht="15" hidden="false" customHeight="false" outlineLevel="0" collapsed="false">
      <c r="A135" s="6" t="s">
        <v>99</v>
      </c>
      <c r="B135" s="11" t="n">
        <v>45931</v>
      </c>
      <c r="C135" s="6" t="s">
        <v>98</v>
      </c>
      <c r="D135" s="12" t="n">
        <v>67500</v>
      </c>
      <c r="E135" s="12" t="n">
        <v>51637</v>
      </c>
    </row>
    <row r="136" customFormat="false" ht="15" hidden="false" customHeight="false" outlineLevel="0" collapsed="false">
      <c r="A136" s="6" t="s">
        <v>99</v>
      </c>
      <c r="B136" s="11" t="n">
        <v>45962</v>
      </c>
      <c r="C136" s="6" t="s">
        <v>93</v>
      </c>
      <c r="D136" s="12" t="n">
        <v>69400</v>
      </c>
      <c r="E136" s="12" t="n">
        <v>29751</v>
      </c>
    </row>
    <row r="137" customFormat="false" ht="15" hidden="false" customHeight="false" outlineLevel="0" collapsed="false">
      <c r="A137" s="6" t="s">
        <v>99</v>
      </c>
      <c r="B137" s="11" t="n">
        <v>45962</v>
      </c>
      <c r="C137" s="6" t="s">
        <v>94</v>
      </c>
      <c r="D137" s="12" t="n">
        <v>46368</v>
      </c>
      <c r="E137" s="12" t="n">
        <v>26218</v>
      </c>
    </row>
    <row r="138" customFormat="false" ht="15" hidden="false" customHeight="false" outlineLevel="0" collapsed="false">
      <c r="A138" s="6" t="s">
        <v>99</v>
      </c>
      <c r="B138" s="11" t="n">
        <v>45962</v>
      </c>
      <c r="C138" s="6" t="s">
        <v>95</v>
      </c>
      <c r="D138" s="12" t="n">
        <v>52126</v>
      </c>
      <c r="E138" s="12" t="n">
        <v>40072</v>
      </c>
    </row>
    <row r="139" customFormat="false" ht="15" hidden="false" customHeight="false" outlineLevel="0" collapsed="false">
      <c r="A139" s="6" t="s">
        <v>99</v>
      </c>
      <c r="B139" s="11" t="n">
        <v>45962</v>
      </c>
      <c r="C139" s="6" t="s">
        <v>96</v>
      </c>
      <c r="D139" s="12" t="n">
        <v>83463</v>
      </c>
      <c r="E139" s="12" t="n">
        <v>51810</v>
      </c>
    </row>
    <row r="140" customFormat="false" ht="15" hidden="false" customHeight="false" outlineLevel="0" collapsed="false">
      <c r="A140" s="6" t="s">
        <v>99</v>
      </c>
      <c r="B140" s="11" t="n">
        <v>45962</v>
      </c>
      <c r="C140" s="6" t="s">
        <v>97</v>
      </c>
      <c r="D140" s="12" t="n">
        <v>44261</v>
      </c>
      <c r="E140" s="12" t="n">
        <v>14452</v>
      </c>
    </row>
    <row r="141" customFormat="false" ht="15" hidden="false" customHeight="false" outlineLevel="0" collapsed="false">
      <c r="A141" s="6" t="s">
        <v>99</v>
      </c>
      <c r="B141" s="11" t="n">
        <v>45962</v>
      </c>
      <c r="C141" s="6" t="s">
        <v>98</v>
      </c>
      <c r="D141" s="12" t="n">
        <v>67992</v>
      </c>
      <c r="E141" s="12" t="n">
        <v>51436</v>
      </c>
    </row>
    <row r="142" customFormat="false" ht="15" hidden="false" customHeight="false" outlineLevel="0" collapsed="false">
      <c r="A142" s="6" t="s">
        <v>99</v>
      </c>
      <c r="B142" s="11" t="n">
        <v>45992</v>
      </c>
      <c r="C142" s="6" t="s">
        <v>93</v>
      </c>
      <c r="D142" s="12" t="n">
        <v>71983</v>
      </c>
      <c r="E142" s="12" t="n">
        <v>32746</v>
      </c>
    </row>
    <row r="143" customFormat="false" ht="15" hidden="false" customHeight="false" outlineLevel="0" collapsed="false">
      <c r="A143" s="6" t="s">
        <v>99</v>
      </c>
      <c r="B143" s="11" t="n">
        <v>45992</v>
      </c>
      <c r="C143" s="6" t="s">
        <v>94</v>
      </c>
      <c r="D143" s="12" t="n">
        <v>52456</v>
      </c>
      <c r="E143" s="12" t="n">
        <v>27741</v>
      </c>
    </row>
    <row r="144" customFormat="false" ht="15" hidden="false" customHeight="false" outlineLevel="0" collapsed="false">
      <c r="A144" s="6" t="s">
        <v>99</v>
      </c>
      <c r="B144" s="11" t="n">
        <v>45992</v>
      </c>
      <c r="C144" s="6" t="s">
        <v>95</v>
      </c>
      <c r="D144" s="12" t="n">
        <v>62931</v>
      </c>
      <c r="E144" s="12" t="n">
        <v>49734</v>
      </c>
    </row>
    <row r="145" customFormat="false" ht="15" hidden="false" customHeight="false" outlineLevel="0" collapsed="false">
      <c r="A145" s="6" t="s">
        <v>99</v>
      </c>
      <c r="B145" s="11" t="n">
        <v>45992</v>
      </c>
      <c r="C145" s="6" t="s">
        <v>96</v>
      </c>
      <c r="D145" s="12" t="n">
        <v>75592</v>
      </c>
      <c r="E145" s="12" t="n">
        <v>48541</v>
      </c>
    </row>
    <row r="146" customFormat="false" ht="15" hidden="false" customHeight="false" outlineLevel="0" collapsed="false">
      <c r="A146" s="6" t="s">
        <v>99</v>
      </c>
      <c r="B146" s="11" t="n">
        <v>45992</v>
      </c>
      <c r="C146" s="6" t="s">
        <v>97</v>
      </c>
      <c r="D146" s="12" t="n">
        <v>42853</v>
      </c>
      <c r="E146" s="12" t="n">
        <v>14085</v>
      </c>
    </row>
    <row r="147" customFormat="false" ht="15" hidden="false" customHeight="false" outlineLevel="0" collapsed="false">
      <c r="A147" s="6" t="s">
        <v>99</v>
      </c>
      <c r="B147" s="11" t="n">
        <v>45992</v>
      </c>
      <c r="C147" s="6" t="s">
        <v>98</v>
      </c>
      <c r="D147" s="12" t="n">
        <v>74377</v>
      </c>
      <c r="E147" s="12" t="n">
        <v>53577</v>
      </c>
    </row>
    <row r="148" customFormat="false" ht="15" hidden="false" customHeight="false" outlineLevel="0" collapsed="false">
      <c r="A148" s="6" t="s">
        <v>100</v>
      </c>
      <c r="B148" s="11" t="n">
        <v>45658</v>
      </c>
      <c r="C148" s="6" t="s">
        <v>93</v>
      </c>
      <c r="D148" s="12" t="n">
        <v>57769</v>
      </c>
      <c r="E148" s="12" t="n">
        <v>23771</v>
      </c>
    </row>
    <row r="149" customFormat="false" ht="15" hidden="false" customHeight="false" outlineLevel="0" collapsed="false">
      <c r="A149" s="6" t="s">
        <v>100</v>
      </c>
      <c r="B149" s="11" t="n">
        <v>45658</v>
      </c>
      <c r="C149" s="6" t="s">
        <v>94</v>
      </c>
      <c r="D149" s="12" t="n">
        <v>40458</v>
      </c>
      <c r="E149" s="12" t="n">
        <v>22422</v>
      </c>
    </row>
    <row r="150" customFormat="false" ht="15" hidden="false" customHeight="false" outlineLevel="0" collapsed="false">
      <c r="A150" s="6" t="s">
        <v>100</v>
      </c>
      <c r="B150" s="11" t="n">
        <v>45658</v>
      </c>
      <c r="C150" s="6" t="s">
        <v>95</v>
      </c>
      <c r="D150" s="12" t="n">
        <v>47181</v>
      </c>
      <c r="E150" s="12" t="n">
        <v>34054</v>
      </c>
    </row>
    <row r="151" customFormat="false" ht="15" hidden="false" customHeight="false" outlineLevel="0" collapsed="false">
      <c r="A151" s="6" t="s">
        <v>100</v>
      </c>
      <c r="B151" s="11" t="n">
        <v>45658</v>
      </c>
      <c r="C151" s="6" t="s">
        <v>96</v>
      </c>
      <c r="D151" s="12" t="n">
        <v>61551</v>
      </c>
      <c r="E151" s="12" t="n">
        <v>40455</v>
      </c>
    </row>
    <row r="152" customFormat="false" ht="15" hidden="false" customHeight="false" outlineLevel="0" collapsed="false">
      <c r="A152" s="6" t="s">
        <v>100</v>
      </c>
      <c r="B152" s="11" t="n">
        <v>45658</v>
      </c>
      <c r="C152" s="6" t="s">
        <v>97</v>
      </c>
      <c r="D152" s="12" t="n">
        <v>35924</v>
      </c>
      <c r="E152" s="12" t="n">
        <v>12082</v>
      </c>
    </row>
    <row r="153" customFormat="false" ht="15" hidden="false" customHeight="false" outlineLevel="0" collapsed="false">
      <c r="A153" s="6" t="s">
        <v>100</v>
      </c>
      <c r="B153" s="11" t="n">
        <v>45658</v>
      </c>
      <c r="C153" s="6" t="s">
        <v>98</v>
      </c>
      <c r="D153" s="12" t="n">
        <v>63813</v>
      </c>
      <c r="E153" s="12" t="n">
        <v>47629</v>
      </c>
    </row>
    <row r="154" customFormat="false" ht="15" hidden="false" customHeight="false" outlineLevel="0" collapsed="false">
      <c r="A154" s="6" t="s">
        <v>100</v>
      </c>
      <c r="B154" s="11" t="n">
        <v>45689</v>
      </c>
      <c r="C154" s="6" t="s">
        <v>93</v>
      </c>
      <c r="D154" s="12" t="n">
        <v>58369</v>
      </c>
      <c r="E154" s="12" t="n">
        <v>26746</v>
      </c>
    </row>
    <row r="155" customFormat="false" ht="15" hidden="false" customHeight="false" outlineLevel="0" collapsed="false">
      <c r="A155" s="6" t="s">
        <v>100</v>
      </c>
      <c r="B155" s="11" t="n">
        <v>45689</v>
      </c>
      <c r="C155" s="6" t="s">
        <v>94</v>
      </c>
      <c r="D155" s="12" t="n">
        <v>41308</v>
      </c>
      <c r="E155" s="12" t="n">
        <v>21663</v>
      </c>
    </row>
    <row r="156" customFormat="false" ht="15" hidden="false" customHeight="false" outlineLevel="0" collapsed="false">
      <c r="A156" s="6" t="s">
        <v>100</v>
      </c>
      <c r="B156" s="11" t="n">
        <v>45689</v>
      </c>
      <c r="C156" s="6" t="s">
        <v>95</v>
      </c>
      <c r="D156" s="12" t="n">
        <v>51051</v>
      </c>
      <c r="E156" s="12" t="n">
        <v>40216</v>
      </c>
    </row>
    <row r="157" customFormat="false" ht="15" hidden="false" customHeight="false" outlineLevel="0" collapsed="false">
      <c r="A157" s="6" t="s">
        <v>100</v>
      </c>
      <c r="B157" s="11" t="n">
        <v>45689</v>
      </c>
      <c r="C157" s="6" t="s">
        <v>96</v>
      </c>
      <c r="D157" s="12" t="n">
        <v>65042</v>
      </c>
      <c r="E157" s="12" t="n">
        <v>39300</v>
      </c>
    </row>
    <row r="158" customFormat="false" ht="15" hidden="false" customHeight="false" outlineLevel="0" collapsed="false">
      <c r="A158" s="6" t="s">
        <v>100</v>
      </c>
      <c r="B158" s="11" t="n">
        <v>45689</v>
      </c>
      <c r="C158" s="6" t="s">
        <v>97</v>
      </c>
      <c r="D158" s="12" t="n">
        <v>36098</v>
      </c>
      <c r="E158" s="12" t="n">
        <v>13393</v>
      </c>
    </row>
    <row r="159" customFormat="false" ht="15" hidden="false" customHeight="false" outlineLevel="0" collapsed="false">
      <c r="A159" s="6" t="s">
        <v>100</v>
      </c>
      <c r="B159" s="11" t="n">
        <v>45689</v>
      </c>
      <c r="C159" s="6" t="s">
        <v>98</v>
      </c>
      <c r="D159" s="12" t="n">
        <v>63491</v>
      </c>
      <c r="E159" s="12" t="n">
        <v>43963</v>
      </c>
    </row>
    <row r="160" customFormat="false" ht="15" hidden="false" customHeight="false" outlineLevel="0" collapsed="false">
      <c r="A160" s="6" t="s">
        <v>100</v>
      </c>
      <c r="B160" s="11" t="n">
        <v>45717</v>
      </c>
      <c r="C160" s="6" t="s">
        <v>93</v>
      </c>
      <c r="D160" s="12" t="n">
        <v>54549</v>
      </c>
      <c r="E160" s="12" t="n">
        <v>21482</v>
      </c>
    </row>
    <row r="161" customFormat="false" ht="15" hidden="false" customHeight="false" outlineLevel="0" collapsed="false">
      <c r="A161" s="6" t="s">
        <v>100</v>
      </c>
      <c r="B161" s="11" t="n">
        <v>45717</v>
      </c>
      <c r="C161" s="6" t="s">
        <v>94</v>
      </c>
      <c r="D161" s="12" t="n">
        <v>39590</v>
      </c>
      <c r="E161" s="12" t="n">
        <v>22309</v>
      </c>
    </row>
    <row r="162" customFormat="false" ht="15" hidden="false" customHeight="false" outlineLevel="0" collapsed="false">
      <c r="A162" s="6" t="s">
        <v>100</v>
      </c>
      <c r="B162" s="11" t="n">
        <v>45717</v>
      </c>
      <c r="C162" s="6" t="s">
        <v>95</v>
      </c>
      <c r="D162" s="12" t="n">
        <v>55419</v>
      </c>
      <c r="E162" s="12" t="n">
        <v>41143</v>
      </c>
    </row>
    <row r="163" customFormat="false" ht="15" hidden="false" customHeight="false" outlineLevel="0" collapsed="false">
      <c r="A163" s="6" t="s">
        <v>100</v>
      </c>
      <c r="B163" s="11" t="n">
        <v>45717</v>
      </c>
      <c r="C163" s="6" t="s">
        <v>96</v>
      </c>
      <c r="D163" s="12" t="n">
        <v>75736</v>
      </c>
      <c r="E163" s="12" t="n">
        <v>47672</v>
      </c>
    </row>
    <row r="164" customFormat="false" ht="15" hidden="false" customHeight="false" outlineLevel="0" collapsed="false">
      <c r="A164" s="6" t="s">
        <v>100</v>
      </c>
      <c r="B164" s="11" t="n">
        <v>45717</v>
      </c>
      <c r="C164" s="6" t="s">
        <v>97</v>
      </c>
      <c r="D164" s="12" t="n">
        <v>38768</v>
      </c>
      <c r="E164" s="12" t="n">
        <v>13888</v>
      </c>
    </row>
    <row r="165" customFormat="false" ht="15" hidden="false" customHeight="false" outlineLevel="0" collapsed="false">
      <c r="A165" s="6" t="s">
        <v>100</v>
      </c>
      <c r="B165" s="11" t="n">
        <v>45717</v>
      </c>
      <c r="C165" s="6" t="s">
        <v>98</v>
      </c>
      <c r="D165" s="12" t="n">
        <v>65786</v>
      </c>
      <c r="E165" s="12" t="n">
        <v>45432</v>
      </c>
    </row>
    <row r="166" customFormat="false" ht="15" hidden="false" customHeight="false" outlineLevel="0" collapsed="false">
      <c r="A166" s="6" t="s">
        <v>100</v>
      </c>
      <c r="B166" s="11" t="n">
        <v>45748</v>
      </c>
      <c r="C166" s="6" t="s">
        <v>93</v>
      </c>
      <c r="D166" s="12" t="n">
        <v>63074</v>
      </c>
      <c r="E166" s="12" t="n">
        <v>24596</v>
      </c>
    </row>
    <row r="167" customFormat="false" ht="15" hidden="false" customHeight="false" outlineLevel="0" collapsed="false">
      <c r="A167" s="6" t="s">
        <v>100</v>
      </c>
      <c r="B167" s="11" t="n">
        <v>45748</v>
      </c>
      <c r="C167" s="6" t="s">
        <v>94</v>
      </c>
      <c r="D167" s="12" t="n">
        <v>42069</v>
      </c>
      <c r="E167" s="12" t="n">
        <v>21506</v>
      </c>
    </row>
    <row r="168" customFormat="false" ht="15" hidden="false" customHeight="false" outlineLevel="0" collapsed="false">
      <c r="A168" s="6" t="s">
        <v>100</v>
      </c>
      <c r="B168" s="11" t="n">
        <v>45748</v>
      </c>
      <c r="C168" s="6" t="s">
        <v>95</v>
      </c>
      <c r="D168" s="12" t="n">
        <v>56719</v>
      </c>
      <c r="E168" s="12" t="n">
        <v>45054</v>
      </c>
    </row>
    <row r="169" customFormat="false" ht="15" hidden="false" customHeight="false" outlineLevel="0" collapsed="false">
      <c r="A169" s="6" t="s">
        <v>100</v>
      </c>
      <c r="B169" s="11" t="n">
        <v>45748</v>
      </c>
      <c r="C169" s="6" t="s">
        <v>96</v>
      </c>
      <c r="D169" s="12" t="n">
        <v>76485</v>
      </c>
      <c r="E169" s="12" t="n">
        <v>50932</v>
      </c>
    </row>
    <row r="170" customFormat="false" ht="15" hidden="false" customHeight="false" outlineLevel="0" collapsed="false">
      <c r="A170" s="6" t="s">
        <v>100</v>
      </c>
      <c r="B170" s="11" t="n">
        <v>45748</v>
      </c>
      <c r="C170" s="6" t="s">
        <v>97</v>
      </c>
      <c r="D170" s="12" t="n">
        <v>37800</v>
      </c>
      <c r="E170" s="12" t="n">
        <v>14179</v>
      </c>
    </row>
    <row r="171" customFormat="false" ht="15" hidden="false" customHeight="false" outlineLevel="0" collapsed="false">
      <c r="A171" s="6" t="s">
        <v>100</v>
      </c>
      <c r="B171" s="11" t="n">
        <v>45748</v>
      </c>
      <c r="C171" s="6" t="s">
        <v>98</v>
      </c>
      <c r="D171" s="12" t="n">
        <v>69354</v>
      </c>
      <c r="E171" s="12" t="n">
        <v>52613</v>
      </c>
    </row>
    <row r="172" customFormat="false" ht="15" hidden="false" customHeight="false" outlineLevel="0" collapsed="false">
      <c r="A172" s="6" t="s">
        <v>100</v>
      </c>
      <c r="B172" s="11" t="n">
        <v>45778</v>
      </c>
      <c r="C172" s="6" t="s">
        <v>93</v>
      </c>
      <c r="D172" s="12" t="n">
        <v>69471</v>
      </c>
      <c r="E172" s="12" t="n">
        <v>31956</v>
      </c>
    </row>
    <row r="173" customFormat="false" ht="15" hidden="false" customHeight="false" outlineLevel="0" collapsed="false">
      <c r="A173" s="6" t="s">
        <v>100</v>
      </c>
      <c r="B173" s="11" t="n">
        <v>45778</v>
      </c>
      <c r="C173" s="6" t="s">
        <v>94</v>
      </c>
      <c r="D173" s="12" t="n">
        <v>49226</v>
      </c>
      <c r="E173" s="12" t="n">
        <v>25069</v>
      </c>
    </row>
    <row r="174" customFormat="false" ht="15" hidden="false" customHeight="false" outlineLevel="0" collapsed="false">
      <c r="A174" s="6" t="s">
        <v>100</v>
      </c>
      <c r="B174" s="11" t="n">
        <v>45778</v>
      </c>
      <c r="C174" s="6" t="s">
        <v>95</v>
      </c>
      <c r="D174" s="12" t="n">
        <v>56894</v>
      </c>
      <c r="E174" s="12" t="n">
        <v>42912</v>
      </c>
    </row>
    <row r="175" customFormat="false" ht="15" hidden="false" customHeight="false" outlineLevel="0" collapsed="false">
      <c r="A175" s="6" t="s">
        <v>100</v>
      </c>
      <c r="B175" s="11" t="n">
        <v>45778</v>
      </c>
      <c r="C175" s="6" t="s">
        <v>96</v>
      </c>
      <c r="D175" s="12" t="n">
        <v>78850</v>
      </c>
      <c r="E175" s="12" t="n">
        <v>49604</v>
      </c>
    </row>
    <row r="176" customFormat="false" ht="15" hidden="false" customHeight="false" outlineLevel="0" collapsed="false">
      <c r="A176" s="6" t="s">
        <v>100</v>
      </c>
      <c r="B176" s="11" t="n">
        <v>45778</v>
      </c>
      <c r="C176" s="6" t="s">
        <v>97</v>
      </c>
      <c r="D176" s="12" t="n">
        <v>38486</v>
      </c>
      <c r="E176" s="12" t="n">
        <v>12171</v>
      </c>
    </row>
    <row r="177" customFormat="false" ht="15" hidden="false" customHeight="false" outlineLevel="0" collapsed="false">
      <c r="A177" s="6" t="s">
        <v>100</v>
      </c>
      <c r="B177" s="11" t="n">
        <v>45778</v>
      </c>
      <c r="C177" s="6" t="s">
        <v>98</v>
      </c>
      <c r="D177" s="12" t="n">
        <v>67503</v>
      </c>
      <c r="E177" s="12" t="n">
        <v>48825</v>
      </c>
    </row>
    <row r="178" customFormat="false" ht="15" hidden="false" customHeight="false" outlineLevel="0" collapsed="false">
      <c r="A178" s="6" t="s">
        <v>100</v>
      </c>
      <c r="B178" s="11" t="n">
        <v>45809</v>
      </c>
      <c r="C178" s="6" t="s">
        <v>93</v>
      </c>
      <c r="D178" s="12" t="n">
        <v>62570</v>
      </c>
      <c r="E178" s="12" t="n">
        <v>24257</v>
      </c>
    </row>
    <row r="179" customFormat="false" ht="15" hidden="false" customHeight="false" outlineLevel="0" collapsed="false">
      <c r="A179" s="6" t="s">
        <v>100</v>
      </c>
      <c r="B179" s="11" t="n">
        <v>45809</v>
      </c>
      <c r="C179" s="6" t="s">
        <v>94</v>
      </c>
      <c r="D179" s="12" t="n">
        <v>44829</v>
      </c>
      <c r="E179" s="12" t="n">
        <v>22492</v>
      </c>
    </row>
    <row r="180" customFormat="false" ht="15" hidden="false" customHeight="false" outlineLevel="0" collapsed="false">
      <c r="A180" s="6" t="s">
        <v>100</v>
      </c>
      <c r="B180" s="11" t="n">
        <v>45809</v>
      </c>
      <c r="C180" s="6" t="s">
        <v>95</v>
      </c>
      <c r="D180" s="12" t="n">
        <v>50595</v>
      </c>
      <c r="E180" s="12" t="n">
        <v>39156</v>
      </c>
    </row>
    <row r="181" customFormat="false" ht="15" hidden="false" customHeight="false" outlineLevel="0" collapsed="false">
      <c r="A181" s="6" t="s">
        <v>100</v>
      </c>
      <c r="B181" s="11" t="n">
        <v>45809</v>
      </c>
      <c r="C181" s="6" t="s">
        <v>96</v>
      </c>
      <c r="D181" s="12" t="n">
        <v>75715</v>
      </c>
      <c r="E181" s="12" t="n">
        <v>47780</v>
      </c>
    </row>
    <row r="182" customFormat="false" ht="15" hidden="false" customHeight="false" outlineLevel="0" collapsed="false">
      <c r="A182" s="6" t="s">
        <v>100</v>
      </c>
      <c r="B182" s="11" t="n">
        <v>45809</v>
      </c>
      <c r="C182" s="6" t="s">
        <v>97</v>
      </c>
      <c r="D182" s="12" t="n">
        <v>43522</v>
      </c>
      <c r="E182" s="12" t="n">
        <v>15814</v>
      </c>
    </row>
    <row r="183" customFormat="false" ht="15" hidden="false" customHeight="false" outlineLevel="0" collapsed="false">
      <c r="A183" s="6" t="s">
        <v>100</v>
      </c>
      <c r="B183" s="11" t="n">
        <v>45809</v>
      </c>
      <c r="C183" s="6" t="s">
        <v>98</v>
      </c>
      <c r="D183" s="12" t="n">
        <v>72578</v>
      </c>
      <c r="E183" s="12" t="n">
        <v>51265</v>
      </c>
    </row>
    <row r="184" customFormat="false" ht="15" hidden="false" customHeight="false" outlineLevel="0" collapsed="false">
      <c r="A184" s="6" t="s">
        <v>100</v>
      </c>
      <c r="B184" s="11" t="n">
        <v>45839</v>
      </c>
      <c r="C184" s="6" t="s">
        <v>93</v>
      </c>
      <c r="D184" s="12" t="n">
        <v>62411</v>
      </c>
      <c r="E184" s="12" t="n">
        <v>28011</v>
      </c>
    </row>
    <row r="185" customFormat="false" ht="15" hidden="false" customHeight="false" outlineLevel="0" collapsed="false">
      <c r="A185" s="6" t="s">
        <v>100</v>
      </c>
      <c r="B185" s="11" t="n">
        <v>45839</v>
      </c>
      <c r="C185" s="6" t="s">
        <v>94</v>
      </c>
      <c r="D185" s="12" t="n">
        <v>49934</v>
      </c>
      <c r="E185" s="12" t="n">
        <v>24565</v>
      </c>
    </row>
    <row r="186" customFormat="false" ht="15" hidden="false" customHeight="false" outlineLevel="0" collapsed="false">
      <c r="A186" s="6" t="s">
        <v>100</v>
      </c>
      <c r="B186" s="11" t="n">
        <v>45839</v>
      </c>
      <c r="C186" s="6" t="s">
        <v>95</v>
      </c>
      <c r="D186" s="12" t="n">
        <v>60809</v>
      </c>
      <c r="E186" s="12" t="n">
        <v>46565</v>
      </c>
    </row>
    <row r="187" customFormat="false" ht="15" hidden="false" customHeight="false" outlineLevel="0" collapsed="false">
      <c r="A187" s="6" t="s">
        <v>100</v>
      </c>
      <c r="B187" s="11" t="n">
        <v>45839</v>
      </c>
      <c r="C187" s="6" t="s">
        <v>96</v>
      </c>
      <c r="D187" s="12" t="n">
        <v>78952</v>
      </c>
      <c r="E187" s="12" t="n">
        <v>48574</v>
      </c>
    </row>
    <row r="188" customFormat="false" ht="15" hidden="false" customHeight="false" outlineLevel="0" collapsed="false">
      <c r="A188" s="6" t="s">
        <v>100</v>
      </c>
      <c r="B188" s="11" t="n">
        <v>45839</v>
      </c>
      <c r="C188" s="6" t="s">
        <v>97</v>
      </c>
      <c r="D188" s="12" t="n">
        <v>44142</v>
      </c>
      <c r="E188" s="12" t="n">
        <v>14878</v>
      </c>
    </row>
    <row r="189" customFormat="false" ht="15" hidden="false" customHeight="false" outlineLevel="0" collapsed="false">
      <c r="A189" s="6" t="s">
        <v>100</v>
      </c>
      <c r="B189" s="11" t="n">
        <v>45839</v>
      </c>
      <c r="C189" s="6" t="s">
        <v>98</v>
      </c>
      <c r="D189" s="12" t="n">
        <v>75049</v>
      </c>
      <c r="E189" s="12" t="n">
        <v>52192</v>
      </c>
    </row>
    <row r="190" customFormat="false" ht="15" hidden="false" customHeight="false" outlineLevel="0" collapsed="false">
      <c r="A190" s="6" t="s">
        <v>100</v>
      </c>
      <c r="B190" s="11" t="n">
        <v>45870</v>
      </c>
      <c r="C190" s="6" t="s">
        <v>93</v>
      </c>
      <c r="D190" s="12" t="n">
        <v>73645</v>
      </c>
      <c r="E190" s="12" t="n">
        <v>28933</v>
      </c>
    </row>
    <row r="191" customFormat="false" ht="15" hidden="false" customHeight="false" outlineLevel="0" collapsed="false">
      <c r="A191" s="6" t="s">
        <v>100</v>
      </c>
      <c r="B191" s="11" t="n">
        <v>45870</v>
      </c>
      <c r="C191" s="6" t="s">
        <v>94</v>
      </c>
      <c r="D191" s="12" t="n">
        <v>48393</v>
      </c>
      <c r="E191" s="12" t="n">
        <v>25261</v>
      </c>
    </row>
    <row r="192" customFormat="false" ht="15" hidden="false" customHeight="false" outlineLevel="0" collapsed="false">
      <c r="A192" s="6" t="s">
        <v>100</v>
      </c>
      <c r="B192" s="11" t="n">
        <v>45870</v>
      </c>
      <c r="C192" s="6" t="s">
        <v>95</v>
      </c>
      <c r="D192" s="12" t="n">
        <v>65426</v>
      </c>
      <c r="E192" s="12" t="n">
        <v>48582</v>
      </c>
    </row>
    <row r="193" customFormat="false" ht="15" hidden="false" customHeight="false" outlineLevel="0" collapsed="false">
      <c r="A193" s="6" t="s">
        <v>100</v>
      </c>
      <c r="B193" s="11" t="n">
        <v>45870</v>
      </c>
      <c r="C193" s="6" t="s">
        <v>96</v>
      </c>
      <c r="D193" s="12" t="n">
        <v>88859</v>
      </c>
      <c r="E193" s="12" t="n">
        <v>53918</v>
      </c>
    </row>
    <row r="194" customFormat="false" ht="15" hidden="false" customHeight="false" outlineLevel="0" collapsed="false">
      <c r="A194" s="6" t="s">
        <v>100</v>
      </c>
      <c r="B194" s="11" t="n">
        <v>45870</v>
      </c>
      <c r="C194" s="6" t="s">
        <v>97</v>
      </c>
      <c r="D194" s="12" t="n">
        <v>42040</v>
      </c>
      <c r="E194" s="12" t="n">
        <v>14266</v>
      </c>
    </row>
    <row r="195" customFormat="false" ht="15" hidden="false" customHeight="false" outlineLevel="0" collapsed="false">
      <c r="A195" s="6" t="s">
        <v>100</v>
      </c>
      <c r="B195" s="11" t="n">
        <v>45870</v>
      </c>
      <c r="C195" s="6" t="s">
        <v>98</v>
      </c>
      <c r="D195" s="12" t="n">
        <v>73984</v>
      </c>
      <c r="E195" s="12" t="n">
        <v>55754</v>
      </c>
    </row>
    <row r="196" customFormat="false" ht="15" hidden="false" customHeight="false" outlineLevel="0" collapsed="false">
      <c r="A196" s="6" t="s">
        <v>100</v>
      </c>
      <c r="B196" s="11" t="n">
        <v>45901</v>
      </c>
      <c r="C196" s="6" t="s">
        <v>93</v>
      </c>
      <c r="D196" s="12" t="n">
        <v>68424</v>
      </c>
      <c r="E196" s="12" t="n">
        <v>26091</v>
      </c>
    </row>
    <row r="197" customFormat="false" ht="15" hidden="false" customHeight="false" outlineLevel="0" collapsed="false">
      <c r="A197" s="6" t="s">
        <v>100</v>
      </c>
      <c r="B197" s="11" t="n">
        <v>45901</v>
      </c>
      <c r="C197" s="6" t="s">
        <v>94</v>
      </c>
      <c r="D197" s="12" t="n">
        <v>52677</v>
      </c>
      <c r="E197" s="12" t="n">
        <v>29608</v>
      </c>
    </row>
    <row r="198" customFormat="false" ht="15" hidden="false" customHeight="false" outlineLevel="0" collapsed="false">
      <c r="A198" s="6" t="s">
        <v>100</v>
      </c>
      <c r="B198" s="11" t="n">
        <v>45901</v>
      </c>
      <c r="C198" s="6" t="s">
        <v>95</v>
      </c>
      <c r="D198" s="12" t="n">
        <v>57466</v>
      </c>
      <c r="E198" s="12" t="n">
        <v>44273</v>
      </c>
    </row>
    <row r="199" customFormat="false" ht="15" hidden="false" customHeight="false" outlineLevel="0" collapsed="false">
      <c r="A199" s="6" t="s">
        <v>100</v>
      </c>
      <c r="B199" s="11" t="n">
        <v>45901</v>
      </c>
      <c r="C199" s="6" t="s">
        <v>96</v>
      </c>
      <c r="D199" s="12" t="n">
        <v>86436</v>
      </c>
      <c r="E199" s="12" t="n">
        <v>55599</v>
      </c>
    </row>
    <row r="200" customFormat="false" ht="15" hidden="false" customHeight="false" outlineLevel="0" collapsed="false">
      <c r="A200" s="6" t="s">
        <v>100</v>
      </c>
      <c r="B200" s="11" t="n">
        <v>45901</v>
      </c>
      <c r="C200" s="6" t="s">
        <v>97</v>
      </c>
      <c r="D200" s="12" t="n">
        <v>41686</v>
      </c>
      <c r="E200" s="12" t="n">
        <v>14006</v>
      </c>
    </row>
    <row r="201" customFormat="false" ht="15" hidden="false" customHeight="false" outlineLevel="0" collapsed="false">
      <c r="A201" s="6" t="s">
        <v>100</v>
      </c>
      <c r="B201" s="11" t="n">
        <v>45901</v>
      </c>
      <c r="C201" s="6" t="s">
        <v>98</v>
      </c>
      <c r="D201" s="12" t="n">
        <v>71200</v>
      </c>
      <c r="E201" s="12" t="n">
        <v>54606</v>
      </c>
    </row>
    <row r="202" customFormat="false" ht="15" hidden="false" customHeight="false" outlineLevel="0" collapsed="false">
      <c r="A202" s="6" t="s">
        <v>100</v>
      </c>
      <c r="B202" s="11" t="n">
        <v>45931</v>
      </c>
      <c r="C202" s="6" t="s">
        <v>93</v>
      </c>
      <c r="D202" s="12" t="n">
        <v>74087</v>
      </c>
      <c r="E202" s="12" t="n">
        <v>28207</v>
      </c>
    </row>
    <row r="203" customFormat="false" ht="15" hidden="false" customHeight="false" outlineLevel="0" collapsed="false">
      <c r="A203" s="6" t="s">
        <v>100</v>
      </c>
      <c r="B203" s="11" t="n">
        <v>45931</v>
      </c>
      <c r="C203" s="6" t="s">
        <v>94</v>
      </c>
      <c r="D203" s="12" t="n">
        <v>56089</v>
      </c>
      <c r="E203" s="12" t="n">
        <v>28667</v>
      </c>
    </row>
    <row r="204" customFormat="false" ht="15" hidden="false" customHeight="false" outlineLevel="0" collapsed="false">
      <c r="A204" s="6" t="s">
        <v>100</v>
      </c>
      <c r="B204" s="11" t="n">
        <v>45931</v>
      </c>
      <c r="C204" s="6" t="s">
        <v>95</v>
      </c>
      <c r="D204" s="12" t="n">
        <v>59876</v>
      </c>
      <c r="E204" s="12" t="n">
        <v>45210</v>
      </c>
    </row>
    <row r="205" customFormat="false" ht="15" hidden="false" customHeight="false" outlineLevel="0" collapsed="false">
      <c r="A205" s="6" t="s">
        <v>100</v>
      </c>
      <c r="B205" s="11" t="n">
        <v>45931</v>
      </c>
      <c r="C205" s="6" t="s">
        <v>96</v>
      </c>
      <c r="D205" s="12" t="n">
        <v>87666</v>
      </c>
      <c r="E205" s="12" t="n">
        <v>54289</v>
      </c>
    </row>
    <row r="206" customFormat="false" ht="15" hidden="false" customHeight="false" outlineLevel="0" collapsed="false">
      <c r="A206" s="6" t="s">
        <v>100</v>
      </c>
      <c r="B206" s="11" t="n">
        <v>45931</v>
      </c>
      <c r="C206" s="6" t="s">
        <v>97</v>
      </c>
      <c r="D206" s="12" t="n">
        <v>47053</v>
      </c>
      <c r="E206" s="12" t="n">
        <v>17679</v>
      </c>
    </row>
    <row r="207" customFormat="false" ht="15" hidden="false" customHeight="false" outlineLevel="0" collapsed="false">
      <c r="A207" s="6" t="s">
        <v>100</v>
      </c>
      <c r="B207" s="11" t="n">
        <v>45931</v>
      </c>
      <c r="C207" s="6" t="s">
        <v>98</v>
      </c>
      <c r="D207" s="12" t="n">
        <v>86554</v>
      </c>
      <c r="E207" s="12" t="n">
        <v>64808</v>
      </c>
    </row>
    <row r="208" customFormat="false" ht="15" hidden="false" customHeight="false" outlineLevel="0" collapsed="false">
      <c r="A208" s="6" t="s">
        <v>100</v>
      </c>
      <c r="B208" s="11" t="n">
        <v>45962</v>
      </c>
      <c r="C208" s="6" t="s">
        <v>93</v>
      </c>
      <c r="D208" s="12" t="n">
        <v>79392</v>
      </c>
      <c r="E208" s="12" t="n">
        <v>33572</v>
      </c>
    </row>
    <row r="209" customFormat="false" ht="15" hidden="false" customHeight="false" outlineLevel="0" collapsed="false">
      <c r="A209" s="6" t="s">
        <v>100</v>
      </c>
      <c r="B209" s="11" t="n">
        <v>45962</v>
      </c>
      <c r="C209" s="6" t="s">
        <v>94</v>
      </c>
      <c r="D209" s="12" t="n">
        <v>58469</v>
      </c>
      <c r="E209" s="12" t="n">
        <v>31748</v>
      </c>
    </row>
    <row r="210" customFormat="false" ht="15" hidden="false" customHeight="false" outlineLevel="0" collapsed="false">
      <c r="A210" s="6" t="s">
        <v>100</v>
      </c>
      <c r="B210" s="11" t="n">
        <v>45962</v>
      </c>
      <c r="C210" s="6" t="s">
        <v>95</v>
      </c>
      <c r="D210" s="12" t="n">
        <v>61571</v>
      </c>
      <c r="E210" s="12" t="n">
        <v>47149</v>
      </c>
    </row>
    <row r="211" customFormat="false" ht="15" hidden="false" customHeight="false" outlineLevel="0" collapsed="false">
      <c r="A211" s="6" t="s">
        <v>100</v>
      </c>
      <c r="B211" s="11" t="n">
        <v>45962</v>
      </c>
      <c r="C211" s="6" t="s">
        <v>96</v>
      </c>
      <c r="D211" s="12" t="n">
        <v>88539</v>
      </c>
      <c r="E211" s="12" t="n">
        <v>54593</v>
      </c>
    </row>
    <row r="212" customFormat="false" ht="15" hidden="false" customHeight="false" outlineLevel="0" collapsed="false">
      <c r="A212" s="6" t="s">
        <v>100</v>
      </c>
      <c r="B212" s="11" t="n">
        <v>45962</v>
      </c>
      <c r="C212" s="6" t="s">
        <v>97</v>
      </c>
      <c r="D212" s="12" t="n">
        <v>48594</v>
      </c>
      <c r="E212" s="12" t="n">
        <v>15875</v>
      </c>
    </row>
    <row r="213" customFormat="false" ht="15" hidden="false" customHeight="false" outlineLevel="0" collapsed="false">
      <c r="A213" s="6" t="s">
        <v>100</v>
      </c>
      <c r="B213" s="11" t="n">
        <v>45962</v>
      </c>
      <c r="C213" s="6" t="s">
        <v>98</v>
      </c>
      <c r="D213" s="12" t="n">
        <v>81010</v>
      </c>
      <c r="E213" s="12" t="n">
        <v>57629</v>
      </c>
    </row>
    <row r="214" customFormat="false" ht="15" hidden="false" customHeight="false" outlineLevel="0" collapsed="false">
      <c r="A214" s="6" t="s">
        <v>100</v>
      </c>
      <c r="B214" s="11" t="n">
        <v>45992</v>
      </c>
      <c r="C214" s="6" t="s">
        <v>93</v>
      </c>
      <c r="D214" s="12" t="n">
        <v>76996</v>
      </c>
      <c r="E214" s="12" t="n">
        <v>29997</v>
      </c>
    </row>
    <row r="215" customFormat="false" ht="15" hidden="false" customHeight="false" outlineLevel="0" collapsed="false">
      <c r="A215" s="6" t="s">
        <v>100</v>
      </c>
      <c r="B215" s="11" t="n">
        <v>45992</v>
      </c>
      <c r="C215" s="6" t="s">
        <v>94</v>
      </c>
      <c r="D215" s="12" t="n">
        <v>65537</v>
      </c>
      <c r="E215" s="12" t="n">
        <v>37232</v>
      </c>
    </row>
    <row r="216" customFormat="false" ht="15" hidden="false" customHeight="false" outlineLevel="0" collapsed="false">
      <c r="A216" s="6" t="s">
        <v>100</v>
      </c>
      <c r="B216" s="11" t="n">
        <v>45992</v>
      </c>
      <c r="C216" s="6" t="s">
        <v>95</v>
      </c>
      <c r="D216" s="12" t="n">
        <v>78081</v>
      </c>
      <c r="E216" s="12" t="n">
        <v>57605</v>
      </c>
    </row>
    <row r="217" customFormat="false" ht="15" hidden="false" customHeight="false" outlineLevel="0" collapsed="false">
      <c r="A217" s="6" t="s">
        <v>100</v>
      </c>
      <c r="B217" s="11" t="n">
        <v>45992</v>
      </c>
      <c r="C217" s="6" t="s">
        <v>96</v>
      </c>
      <c r="D217" s="12" t="n">
        <v>100347</v>
      </c>
      <c r="E217" s="12" t="n">
        <v>67386</v>
      </c>
    </row>
    <row r="218" customFormat="false" ht="15" hidden="false" customHeight="false" outlineLevel="0" collapsed="false">
      <c r="A218" s="6" t="s">
        <v>100</v>
      </c>
      <c r="B218" s="11" t="n">
        <v>45992</v>
      </c>
      <c r="C218" s="6" t="s">
        <v>97</v>
      </c>
      <c r="D218" s="12" t="n">
        <v>56360</v>
      </c>
      <c r="E218" s="12" t="n">
        <v>17937</v>
      </c>
    </row>
    <row r="219" customFormat="false" ht="15" hidden="false" customHeight="false" outlineLevel="0" collapsed="false">
      <c r="A219" s="6" t="s">
        <v>100</v>
      </c>
      <c r="B219" s="11" t="n">
        <v>45992</v>
      </c>
      <c r="C219" s="6" t="s">
        <v>98</v>
      </c>
      <c r="D219" s="12" t="n">
        <v>92562</v>
      </c>
      <c r="E219" s="12" t="n">
        <v>64137</v>
      </c>
    </row>
    <row r="220" customFormat="false" ht="15" hidden="false" customHeight="false" outlineLevel="0" collapsed="false">
      <c r="A220" s="6" t="s">
        <v>101</v>
      </c>
      <c r="B220" s="11" t="n">
        <v>45658</v>
      </c>
      <c r="C220" s="6" t="s">
        <v>93</v>
      </c>
      <c r="D220" s="12" t="n">
        <v>36481</v>
      </c>
      <c r="E220" s="12" t="n">
        <v>14932</v>
      </c>
    </row>
    <row r="221" customFormat="false" ht="15" hidden="false" customHeight="false" outlineLevel="0" collapsed="false">
      <c r="A221" s="6" t="s">
        <v>101</v>
      </c>
      <c r="B221" s="11" t="n">
        <v>45658</v>
      </c>
      <c r="C221" s="6" t="s">
        <v>94</v>
      </c>
      <c r="D221" s="12" t="n">
        <v>26552</v>
      </c>
      <c r="E221" s="12" t="n">
        <v>14829</v>
      </c>
    </row>
    <row r="222" customFormat="false" ht="15" hidden="false" customHeight="false" outlineLevel="0" collapsed="false">
      <c r="A222" s="6" t="s">
        <v>101</v>
      </c>
      <c r="B222" s="11" t="n">
        <v>45658</v>
      </c>
      <c r="C222" s="6" t="s">
        <v>95</v>
      </c>
      <c r="D222" s="12" t="n">
        <v>28429</v>
      </c>
      <c r="E222" s="12" t="n">
        <v>21538</v>
      </c>
    </row>
    <row r="223" customFormat="false" ht="15" hidden="false" customHeight="false" outlineLevel="0" collapsed="false">
      <c r="A223" s="6" t="s">
        <v>101</v>
      </c>
      <c r="B223" s="11" t="n">
        <v>45658</v>
      </c>
      <c r="C223" s="6" t="s">
        <v>96</v>
      </c>
      <c r="D223" s="12" t="n">
        <v>39462</v>
      </c>
      <c r="E223" s="12" t="n">
        <v>23826</v>
      </c>
    </row>
    <row r="224" customFormat="false" ht="15" hidden="false" customHeight="false" outlineLevel="0" collapsed="false">
      <c r="A224" s="6" t="s">
        <v>101</v>
      </c>
      <c r="B224" s="11" t="n">
        <v>45658</v>
      </c>
      <c r="C224" s="6" t="s">
        <v>97</v>
      </c>
      <c r="D224" s="12" t="n">
        <v>22491</v>
      </c>
      <c r="E224" s="12" t="n">
        <v>7429</v>
      </c>
    </row>
    <row r="225" customFormat="false" ht="15" hidden="false" customHeight="false" outlineLevel="0" collapsed="false">
      <c r="A225" s="6" t="s">
        <v>101</v>
      </c>
      <c r="B225" s="11" t="n">
        <v>45658</v>
      </c>
      <c r="C225" s="6" t="s">
        <v>98</v>
      </c>
      <c r="D225" s="12" t="n">
        <v>37598</v>
      </c>
      <c r="E225" s="12" t="n">
        <v>26106</v>
      </c>
    </row>
    <row r="226" customFormat="false" ht="15" hidden="false" customHeight="false" outlineLevel="0" collapsed="false">
      <c r="A226" s="6" t="s">
        <v>101</v>
      </c>
      <c r="B226" s="11" t="n">
        <v>45689</v>
      </c>
      <c r="C226" s="6" t="s">
        <v>93</v>
      </c>
      <c r="D226" s="12" t="n">
        <v>31921</v>
      </c>
      <c r="E226" s="12" t="n">
        <v>12795</v>
      </c>
    </row>
    <row r="227" customFormat="false" ht="15" hidden="false" customHeight="false" outlineLevel="0" collapsed="false">
      <c r="A227" s="6" t="s">
        <v>101</v>
      </c>
      <c r="B227" s="11" t="n">
        <v>45689</v>
      </c>
      <c r="C227" s="6" t="s">
        <v>94</v>
      </c>
      <c r="D227" s="12" t="n">
        <v>24278</v>
      </c>
      <c r="E227" s="12" t="n">
        <v>13057</v>
      </c>
    </row>
    <row r="228" customFormat="false" ht="15" hidden="false" customHeight="false" outlineLevel="0" collapsed="false">
      <c r="A228" s="6" t="s">
        <v>101</v>
      </c>
      <c r="B228" s="11" t="n">
        <v>45689</v>
      </c>
      <c r="C228" s="6" t="s">
        <v>95</v>
      </c>
      <c r="D228" s="12" t="n">
        <v>27884</v>
      </c>
      <c r="E228" s="12" t="n">
        <v>21964</v>
      </c>
    </row>
    <row r="229" customFormat="false" ht="15" hidden="false" customHeight="false" outlineLevel="0" collapsed="false">
      <c r="A229" s="6" t="s">
        <v>101</v>
      </c>
      <c r="B229" s="11" t="n">
        <v>45689</v>
      </c>
      <c r="C229" s="6" t="s">
        <v>96</v>
      </c>
      <c r="D229" s="12" t="n">
        <v>34470</v>
      </c>
      <c r="E229" s="12" t="n">
        <v>22513</v>
      </c>
    </row>
    <row r="230" customFormat="false" ht="15" hidden="false" customHeight="false" outlineLevel="0" collapsed="false">
      <c r="A230" s="6" t="s">
        <v>101</v>
      </c>
      <c r="B230" s="11" t="n">
        <v>45689</v>
      </c>
      <c r="C230" s="6" t="s">
        <v>97</v>
      </c>
      <c r="D230" s="12" t="n">
        <v>20445</v>
      </c>
      <c r="E230" s="12" t="n">
        <v>7636</v>
      </c>
    </row>
    <row r="231" customFormat="false" ht="15" hidden="false" customHeight="false" outlineLevel="0" collapsed="false">
      <c r="A231" s="6" t="s">
        <v>101</v>
      </c>
      <c r="B231" s="11" t="n">
        <v>45689</v>
      </c>
      <c r="C231" s="6" t="s">
        <v>98</v>
      </c>
      <c r="D231" s="12" t="n">
        <v>35598</v>
      </c>
      <c r="E231" s="12" t="n">
        <v>26411</v>
      </c>
    </row>
    <row r="232" customFormat="false" ht="15" hidden="false" customHeight="false" outlineLevel="0" collapsed="false">
      <c r="A232" s="6" t="s">
        <v>101</v>
      </c>
      <c r="B232" s="11" t="n">
        <v>45717</v>
      </c>
      <c r="C232" s="6" t="s">
        <v>93</v>
      </c>
      <c r="D232" s="12" t="n">
        <v>39195</v>
      </c>
      <c r="E232" s="12" t="n">
        <v>15582</v>
      </c>
    </row>
    <row r="233" customFormat="false" ht="15" hidden="false" customHeight="false" outlineLevel="0" collapsed="false">
      <c r="A233" s="6" t="s">
        <v>101</v>
      </c>
      <c r="B233" s="11" t="n">
        <v>45717</v>
      </c>
      <c r="C233" s="6" t="s">
        <v>94</v>
      </c>
      <c r="D233" s="12" t="n">
        <v>27265</v>
      </c>
      <c r="E233" s="12" t="n">
        <v>13694</v>
      </c>
    </row>
    <row r="234" customFormat="false" ht="15" hidden="false" customHeight="false" outlineLevel="0" collapsed="false">
      <c r="A234" s="6" t="s">
        <v>101</v>
      </c>
      <c r="B234" s="11" t="n">
        <v>45717</v>
      </c>
      <c r="C234" s="6" t="s">
        <v>95</v>
      </c>
      <c r="D234" s="12" t="n">
        <v>30511</v>
      </c>
      <c r="E234" s="12" t="n">
        <v>24125</v>
      </c>
    </row>
    <row r="235" customFormat="false" ht="15" hidden="false" customHeight="false" outlineLevel="0" collapsed="false">
      <c r="A235" s="6" t="s">
        <v>101</v>
      </c>
      <c r="B235" s="11" t="n">
        <v>45717</v>
      </c>
      <c r="C235" s="6" t="s">
        <v>96</v>
      </c>
      <c r="D235" s="12" t="n">
        <v>43299</v>
      </c>
      <c r="E235" s="12" t="n">
        <v>28655</v>
      </c>
    </row>
    <row r="236" customFormat="false" ht="15" hidden="false" customHeight="false" outlineLevel="0" collapsed="false">
      <c r="A236" s="6" t="s">
        <v>101</v>
      </c>
      <c r="B236" s="11" t="n">
        <v>45717</v>
      </c>
      <c r="C236" s="6" t="s">
        <v>97</v>
      </c>
      <c r="D236" s="12" t="n">
        <v>25907</v>
      </c>
      <c r="E236" s="12" t="n">
        <v>8964</v>
      </c>
    </row>
    <row r="237" customFormat="false" ht="15" hidden="false" customHeight="false" outlineLevel="0" collapsed="false">
      <c r="A237" s="6" t="s">
        <v>101</v>
      </c>
      <c r="B237" s="11" t="n">
        <v>45717</v>
      </c>
      <c r="C237" s="6" t="s">
        <v>98</v>
      </c>
      <c r="D237" s="12" t="n">
        <v>42648</v>
      </c>
      <c r="E237" s="12" t="n">
        <v>32001</v>
      </c>
    </row>
    <row r="238" customFormat="false" ht="15" hidden="false" customHeight="false" outlineLevel="0" collapsed="false">
      <c r="A238" s="6" t="s">
        <v>101</v>
      </c>
      <c r="B238" s="11" t="n">
        <v>45748</v>
      </c>
      <c r="C238" s="6" t="s">
        <v>93</v>
      </c>
      <c r="D238" s="12" t="n">
        <v>34425</v>
      </c>
      <c r="E238" s="12" t="n">
        <v>14109</v>
      </c>
    </row>
    <row r="239" customFormat="false" ht="15" hidden="false" customHeight="false" outlineLevel="0" collapsed="false">
      <c r="A239" s="6" t="s">
        <v>101</v>
      </c>
      <c r="B239" s="11" t="n">
        <v>45748</v>
      </c>
      <c r="C239" s="6" t="s">
        <v>94</v>
      </c>
      <c r="D239" s="12" t="n">
        <v>28438</v>
      </c>
      <c r="E239" s="12" t="n">
        <v>15627</v>
      </c>
    </row>
    <row r="240" customFormat="false" ht="15" hidden="false" customHeight="false" outlineLevel="0" collapsed="false">
      <c r="A240" s="6" t="s">
        <v>101</v>
      </c>
      <c r="B240" s="11" t="n">
        <v>45748</v>
      </c>
      <c r="C240" s="6" t="s">
        <v>95</v>
      </c>
      <c r="D240" s="12" t="n">
        <v>35976</v>
      </c>
      <c r="E240" s="12" t="n">
        <v>25980</v>
      </c>
    </row>
    <row r="241" customFormat="false" ht="15" hidden="false" customHeight="false" outlineLevel="0" collapsed="false">
      <c r="A241" s="6" t="s">
        <v>101</v>
      </c>
      <c r="B241" s="11" t="n">
        <v>45748</v>
      </c>
      <c r="C241" s="6" t="s">
        <v>96</v>
      </c>
      <c r="D241" s="12" t="n">
        <v>45601</v>
      </c>
      <c r="E241" s="12" t="n">
        <v>27429</v>
      </c>
    </row>
    <row r="242" customFormat="false" ht="15" hidden="false" customHeight="false" outlineLevel="0" collapsed="false">
      <c r="A242" s="6" t="s">
        <v>101</v>
      </c>
      <c r="B242" s="11" t="n">
        <v>45748</v>
      </c>
      <c r="C242" s="6" t="s">
        <v>97</v>
      </c>
      <c r="D242" s="12" t="n">
        <v>26867</v>
      </c>
      <c r="E242" s="12" t="n">
        <v>9891</v>
      </c>
    </row>
    <row r="243" customFormat="false" ht="15" hidden="false" customHeight="false" outlineLevel="0" collapsed="false">
      <c r="A243" s="6" t="s">
        <v>101</v>
      </c>
      <c r="B243" s="11" t="n">
        <v>45748</v>
      </c>
      <c r="C243" s="6" t="s">
        <v>98</v>
      </c>
      <c r="D243" s="12" t="n">
        <v>42965</v>
      </c>
      <c r="E243" s="12" t="n">
        <v>30519</v>
      </c>
    </row>
    <row r="244" customFormat="false" ht="15" hidden="false" customHeight="false" outlineLevel="0" collapsed="false">
      <c r="A244" s="6" t="s">
        <v>101</v>
      </c>
      <c r="B244" s="11" t="n">
        <v>45778</v>
      </c>
      <c r="C244" s="6" t="s">
        <v>93</v>
      </c>
      <c r="D244" s="12" t="n">
        <v>40648</v>
      </c>
      <c r="E244" s="12" t="n">
        <v>17594</v>
      </c>
    </row>
    <row r="245" customFormat="false" ht="15" hidden="false" customHeight="false" outlineLevel="0" collapsed="false">
      <c r="A245" s="6" t="s">
        <v>101</v>
      </c>
      <c r="B245" s="11" t="n">
        <v>45778</v>
      </c>
      <c r="C245" s="6" t="s">
        <v>94</v>
      </c>
      <c r="D245" s="12" t="n">
        <v>28633</v>
      </c>
      <c r="E245" s="12" t="n">
        <v>14974</v>
      </c>
    </row>
    <row r="246" customFormat="false" ht="15" hidden="false" customHeight="false" outlineLevel="0" collapsed="false">
      <c r="A246" s="6" t="s">
        <v>101</v>
      </c>
      <c r="B246" s="11" t="n">
        <v>45778</v>
      </c>
      <c r="C246" s="6" t="s">
        <v>95</v>
      </c>
      <c r="D246" s="12" t="n">
        <v>36769</v>
      </c>
      <c r="E246" s="12" t="n">
        <v>29264</v>
      </c>
    </row>
    <row r="247" customFormat="false" ht="15" hidden="false" customHeight="false" outlineLevel="0" collapsed="false">
      <c r="A247" s="6" t="s">
        <v>101</v>
      </c>
      <c r="B247" s="11" t="n">
        <v>45778</v>
      </c>
      <c r="C247" s="6" t="s">
        <v>96</v>
      </c>
      <c r="D247" s="12" t="n">
        <v>44432</v>
      </c>
      <c r="E247" s="12" t="n">
        <v>29095</v>
      </c>
    </row>
    <row r="248" customFormat="false" ht="15" hidden="false" customHeight="false" outlineLevel="0" collapsed="false">
      <c r="A248" s="6" t="s">
        <v>101</v>
      </c>
      <c r="B248" s="11" t="n">
        <v>45778</v>
      </c>
      <c r="C248" s="6" t="s">
        <v>97</v>
      </c>
      <c r="D248" s="12" t="n">
        <v>26880</v>
      </c>
      <c r="E248" s="12" t="n">
        <v>9964</v>
      </c>
    </row>
    <row r="249" customFormat="false" ht="15" hidden="false" customHeight="false" outlineLevel="0" collapsed="false">
      <c r="A249" s="6" t="s">
        <v>101</v>
      </c>
      <c r="B249" s="11" t="n">
        <v>45778</v>
      </c>
      <c r="C249" s="6" t="s">
        <v>98</v>
      </c>
      <c r="D249" s="12" t="n">
        <v>38849</v>
      </c>
      <c r="E249" s="12" t="n">
        <v>29555</v>
      </c>
    </row>
    <row r="250" customFormat="false" ht="15" hidden="false" customHeight="false" outlineLevel="0" collapsed="false">
      <c r="A250" s="6" t="s">
        <v>101</v>
      </c>
      <c r="B250" s="11" t="n">
        <v>45809</v>
      </c>
      <c r="C250" s="6" t="s">
        <v>93</v>
      </c>
      <c r="D250" s="12" t="n">
        <v>35335</v>
      </c>
      <c r="E250" s="12" t="n">
        <v>15024</v>
      </c>
    </row>
    <row r="251" customFormat="false" ht="15" hidden="false" customHeight="false" outlineLevel="0" collapsed="false">
      <c r="A251" s="6" t="s">
        <v>101</v>
      </c>
      <c r="B251" s="11" t="n">
        <v>45809</v>
      </c>
      <c r="C251" s="6" t="s">
        <v>94</v>
      </c>
      <c r="D251" s="12" t="n">
        <v>30015</v>
      </c>
      <c r="E251" s="12" t="n">
        <v>16256</v>
      </c>
    </row>
    <row r="252" customFormat="false" ht="15" hidden="false" customHeight="false" outlineLevel="0" collapsed="false">
      <c r="A252" s="6" t="s">
        <v>101</v>
      </c>
      <c r="B252" s="11" t="n">
        <v>45809</v>
      </c>
      <c r="C252" s="6" t="s">
        <v>95</v>
      </c>
      <c r="D252" s="12" t="n">
        <v>31157</v>
      </c>
      <c r="E252" s="12" t="n">
        <v>23256</v>
      </c>
    </row>
    <row r="253" customFormat="false" ht="15" hidden="false" customHeight="false" outlineLevel="0" collapsed="false">
      <c r="A253" s="6" t="s">
        <v>101</v>
      </c>
      <c r="B253" s="11" t="n">
        <v>45809</v>
      </c>
      <c r="C253" s="6" t="s">
        <v>96</v>
      </c>
      <c r="D253" s="12" t="n">
        <v>43396</v>
      </c>
      <c r="E253" s="12" t="n">
        <v>27526</v>
      </c>
    </row>
    <row r="254" customFormat="false" ht="15" hidden="false" customHeight="false" outlineLevel="0" collapsed="false">
      <c r="A254" s="6" t="s">
        <v>101</v>
      </c>
      <c r="B254" s="11" t="n">
        <v>45809</v>
      </c>
      <c r="C254" s="6" t="s">
        <v>97</v>
      </c>
      <c r="D254" s="12" t="n">
        <v>26265</v>
      </c>
      <c r="E254" s="12" t="n">
        <v>9023</v>
      </c>
    </row>
    <row r="255" customFormat="false" ht="15" hidden="false" customHeight="false" outlineLevel="0" collapsed="false">
      <c r="A255" s="6" t="s">
        <v>101</v>
      </c>
      <c r="B255" s="11" t="n">
        <v>45809</v>
      </c>
      <c r="C255" s="6" t="s">
        <v>98</v>
      </c>
      <c r="D255" s="12" t="n">
        <v>43911</v>
      </c>
      <c r="E255" s="12" t="n">
        <v>31635</v>
      </c>
    </row>
    <row r="256" customFormat="false" ht="15" hidden="false" customHeight="false" outlineLevel="0" collapsed="false">
      <c r="A256" s="6" t="s">
        <v>101</v>
      </c>
      <c r="B256" s="11" t="n">
        <v>45839</v>
      </c>
      <c r="C256" s="6" t="s">
        <v>93</v>
      </c>
      <c r="D256" s="12" t="n">
        <v>44175</v>
      </c>
      <c r="E256" s="12" t="n">
        <v>17626</v>
      </c>
    </row>
    <row r="257" customFormat="false" ht="15" hidden="false" customHeight="false" outlineLevel="0" collapsed="false">
      <c r="A257" s="6" t="s">
        <v>101</v>
      </c>
      <c r="B257" s="11" t="n">
        <v>45839</v>
      </c>
      <c r="C257" s="6" t="s">
        <v>94</v>
      </c>
      <c r="D257" s="12" t="n">
        <v>32580</v>
      </c>
      <c r="E257" s="12" t="n">
        <v>16625</v>
      </c>
    </row>
    <row r="258" customFormat="false" ht="15" hidden="false" customHeight="false" outlineLevel="0" collapsed="false">
      <c r="A258" s="6" t="s">
        <v>101</v>
      </c>
      <c r="B258" s="11" t="n">
        <v>45839</v>
      </c>
      <c r="C258" s="6" t="s">
        <v>95</v>
      </c>
      <c r="D258" s="12" t="n">
        <v>34919</v>
      </c>
      <c r="E258" s="12" t="n">
        <v>26526</v>
      </c>
    </row>
    <row r="259" customFormat="false" ht="15" hidden="false" customHeight="false" outlineLevel="0" collapsed="false">
      <c r="A259" s="6" t="s">
        <v>101</v>
      </c>
      <c r="B259" s="11" t="n">
        <v>45839</v>
      </c>
      <c r="C259" s="6" t="s">
        <v>96</v>
      </c>
      <c r="D259" s="12" t="n">
        <v>51051</v>
      </c>
      <c r="E259" s="12" t="n">
        <v>31510</v>
      </c>
    </row>
    <row r="260" customFormat="false" ht="15" hidden="false" customHeight="false" outlineLevel="0" collapsed="false">
      <c r="A260" s="6" t="s">
        <v>101</v>
      </c>
      <c r="B260" s="11" t="n">
        <v>45839</v>
      </c>
      <c r="C260" s="6" t="s">
        <v>97</v>
      </c>
      <c r="D260" s="12" t="n">
        <v>28228</v>
      </c>
      <c r="E260" s="12" t="n">
        <v>8823</v>
      </c>
    </row>
    <row r="261" customFormat="false" ht="15" hidden="false" customHeight="false" outlineLevel="0" collapsed="false">
      <c r="A261" s="6" t="s">
        <v>101</v>
      </c>
      <c r="B261" s="11" t="n">
        <v>45839</v>
      </c>
      <c r="C261" s="6" t="s">
        <v>98</v>
      </c>
      <c r="D261" s="12" t="n">
        <v>48176</v>
      </c>
      <c r="E261" s="12" t="n">
        <v>35010</v>
      </c>
    </row>
    <row r="262" customFormat="false" ht="15" hidden="false" customHeight="false" outlineLevel="0" collapsed="false">
      <c r="A262" s="6" t="s">
        <v>101</v>
      </c>
      <c r="B262" s="11" t="n">
        <v>45870</v>
      </c>
      <c r="C262" s="6" t="s">
        <v>93</v>
      </c>
      <c r="D262" s="12" t="n">
        <v>43915</v>
      </c>
      <c r="E262" s="12" t="n">
        <v>20047</v>
      </c>
    </row>
    <row r="263" customFormat="false" ht="15" hidden="false" customHeight="false" outlineLevel="0" collapsed="false">
      <c r="A263" s="6" t="s">
        <v>101</v>
      </c>
      <c r="B263" s="11" t="n">
        <v>45870</v>
      </c>
      <c r="C263" s="6" t="s">
        <v>94</v>
      </c>
      <c r="D263" s="12" t="n">
        <v>31074</v>
      </c>
      <c r="E263" s="12" t="n">
        <v>15905</v>
      </c>
    </row>
    <row r="264" customFormat="false" ht="15" hidden="false" customHeight="false" outlineLevel="0" collapsed="false">
      <c r="A264" s="6" t="s">
        <v>101</v>
      </c>
      <c r="B264" s="11" t="n">
        <v>45870</v>
      </c>
      <c r="C264" s="6" t="s">
        <v>95</v>
      </c>
      <c r="D264" s="12" t="n">
        <v>40911</v>
      </c>
      <c r="E264" s="12" t="n">
        <v>29952</v>
      </c>
    </row>
    <row r="265" customFormat="false" ht="15" hidden="false" customHeight="false" outlineLevel="0" collapsed="false">
      <c r="A265" s="6" t="s">
        <v>101</v>
      </c>
      <c r="B265" s="11" t="n">
        <v>45870</v>
      </c>
      <c r="C265" s="6" t="s">
        <v>96</v>
      </c>
      <c r="D265" s="12" t="n">
        <v>49499</v>
      </c>
      <c r="E265" s="12" t="n">
        <v>32750</v>
      </c>
    </row>
    <row r="266" customFormat="false" ht="15" hidden="false" customHeight="false" outlineLevel="0" collapsed="false">
      <c r="A266" s="6" t="s">
        <v>101</v>
      </c>
      <c r="B266" s="11" t="n">
        <v>45870</v>
      </c>
      <c r="C266" s="6" t="s">
        <v>97</v>
      </c>
      <c r="D266" s="12" t="n">
        <v>30082</v>
      </c>
      <c r="E266" s="12" t="n">
        <v>9849</v>
      </c>
    </row>
    <row r="267" customFormat="false" ht="15" hidden="false" customHeight="false" outlineLevel="0" collapsed="false">
      <c r="A267" s="6" t="s">
        <v>101</v>
      </c>
      <c r="B267" s="11" t="n">
        <v>45870</v>
      </c>
      <c r="C267" s="6" t="s">
        <v>98</v>
      </c>
      <c r="D267" s="12" t="n">
        <v>43934</v>
      </c>
      <c r="E267" s="12" t="n">
        <v>33697</v>
      </c>
    </row>
    <row r="268" customFormat="false" ht="15" hidden="false" customHeight="false" outlineLevel="0" collapsed="false">
      <c r="A268" s="6" t="s">
        <v>101</v>
      </c>
      <c r="B268" s="11" t="n">
        <v>45901</v>
      </c>
      <c r="C268" s="6" t="s">
        <v>93</v>
      </c>
      <c r="D268" s="12" t="n">
        <v>45303</v>
      </c>
      <c r="E268" s="12" t="n">
        <v>18749</v>
      </c>
    </row>
    <row r="269" customFormat="false" ht="15" hidden="false" customHeight="false" outlineLevel="0" collapsed="false">
      <c r="A269" s="6" t="s">
        <v>101</v>
      </c>
      <c r="B269" s="11" t="n">
        <v>45901</v>
      </c>
      <c r="C269" s="6" t="s">
        <v>94</v>
      </c>
      <c r="D269" s="12" t="n">
        <v>28375</v>
      </c>
      <c r="E269" s="12" t="n">
        <v>13927</v>
      </c>
    </row>
    <row r="270" customFormat="false" ht="15" hidden="false" customHeight="false" outlineLevel="0" collapsed="false">
      <c r="A270" s="6" t="s">
        <v>101</v>
      </c>
      <c r="B270" s="11" t="n">
        <v>45901</v>
      </c>
      <c r="C270" s="6" t="s">
        <v>95</v>
      </c>
      <c r="D270" s="12" t="n">
        <v>37908</v>
      </c>
      <c r="E270" s="12" t="n">
        <v>28026</v>
      </c>
    </row>
    <row r="271" customFormat="false" ht="15" hidden="false" customHeight="false" outlineLevel="0" collapsed="false">
      <c r="A271" s="6" t="s">
        <v>101</v>
      </c>
      <c r="B271" s="11" t="n">
        <v>45901</v>
      </c>
      <c r="C271" s="6" t="s">
        <v>96</v>
      </c>
      <c r="D271" s="12" t="n">
        <v>52435</v>
      </c>
      <c r="E271" s="12" t="n">
        <v>34582</v>
      </c>
    </row>
    <row r="272" customFormat="false" ht="15" hidden="false" customHeight="false" outlineLevel="0" collapsed="false">
      <c r="A272" s="6" t="s">
        <v>101</v>
      </c>
      <c r="B272" s="11" t="n">
        <v>45901</v>
      </c>
      <c r="C272" s="6" t="s">
        <v>97</v>
      </c>
      <c r="D272" s="12" t="n">
        <v>27662</v>
      </c>
      <c r="E272" s="12" t="n">
        <v>10130</v>
      </c>
    </row>
    <row r="273" customFormat="false" ht="15" hidden="false" customHeight="false" outlineLevel="0" collapsed="false">
      <c r="A273" s="6" t="s">
        <v>101</v>
      </c>
      <c r="B273" s="11" t="n">
        <v>45901</v>
      </c>
      <c r="C273" s="6" t="s">
        <v>98</v>
      </c>
      <c r="D273" s="12" t="n">
        <v>47206</v>
      </c>
      <c r="E273" s="12" t="n">
        <v>34707</v>
      </c>
    </row>
    <row r="274" customFormat="false" ht="15" hidden="false" customHeight="false" outlineLevel="0" collapsed="false">
      <c r="A274" s="6" t="s">
        <v>101</v>
      </c>
      <c r="B274" s="11" t="n">
        <v>45931</v>
      </c>
      <c r="C274" s="6" t="s">
        <v>93</v>
      </c>
      <c r="D274" s="12" t="n">
        <v>47438</v>
      </c>
      <c r="E274" s="12" t="n">
        <v>21382</v>
      </c>
    </row>
    <row r="275" customFormat="false" ht="15" hidden="false" customHeight="false" outlineLevel="0" collapsed="false">
      <c r="A275" s="6" t="s">
        <v>101</v>
      </c>
      <c r="B275" s="11" t="n">
        <v>45931</v>
      </c>
      <c r="C275" s="6" t="s">
        <v>94</v>
      </c>
      <c r="D275" s="12" t="n">
        <v>30836</v>
      </c>
      <c r="E275" s="12" t="n">
        <v>16622</v>
      </c>
    </row>
    <row r="276" customFormat="false" ht="15" hidden="false" customHeight="false" outlineLevel="0" collapsed="false">
      <c r="A276" s="6" t="s">
        <v>101</v>
      </c>
      <c r="B276" s="11" t="n">
        <v>45931</v>
      </c>
      <c r="C276" s="6" t="s">
        <v>95</v>
      </c>
      <c r="D276" s="12" t="n">
        <v>35710</v>
      </c>
      <c r="E276" s="12" t="n">
        <v>27407</v>
      </c>
    </row>
    <row r="277" customFormat="false" ht="15" hidden="false" customHeight="false" outlineLevel="0" collapsed="false">
      <c r="A277" s="6" t="s">
        <v>101</v>
      </c>
      <c r="B277" s="11" t="n">
        <v>45931</v>
      </c>
      <c r="C277" s="6" t="s">
        <v>96</v>
      </c>
      <c r="D277" s="12" t="n">
        <v>57463</v>
      </c>
      <c r="E277" s="12" t="n">
        <v>35095</v>
      </c>
    </row>
    <row r="278" customFormat="false" ht="15" hidden="false" customHeight="false" outlineLevel="0" collapsed="false">
      <c r="A278" s="6" t="s">
        <v>101</v>
      </c>
      <c r="B278" s="11" t="n">
        <v>45931</v>
      </c>
      <c r="C278" s="6" t="s">
        <v>97</v>
      </c>
      <c r="D278" s="12" t="n">
        <v>27440</v>
      </c>
      <c r="E278" s="12" t="n">
        <v>8601</v>
      </c>
    </row>
    <row r="279" customFormat="false" ht="15" hidden="false" customHeight="false" outlineLevel="0" collapsed="false">
      <c r="A279" s="6" t="s">
        <v>101</v>
      </c>
      <c r="B279" s="11" t="n">
        <v>45931</v>
      </c>
      <c r="C279" s="6" t="s">
        <v>98</v>
      </c>
      <c r="D279" s="12" t="n">
        <v>46446</v>
      </c>
      <c r="E279" s="12" t="n">
        <v>34873</v>
      </c>
    </row>
    <row r="280" customFormat="false" ht="15" hidden="false" customHeight="false" outlineLevel="0" collapsed="false">
      <c r="A280" s="6" t="s">
        <v>101</v>
      </c>
      <c r="B280" s="11" t="n">
        <v>45962</v>
      </c>
      <c r="C280" s="6" t="s">
        <v>93</v>
      </c>
      <c r="D280" s="12" t="n">
        <v>48054</v>
      </c>
      <c r="E280" s="12" t="n">
        <v>20974</v>
      </c>
    </row>
    <row r="281" customFormat="false" ht="15" hidden="false" customHeight="false" outlineLevel="0" collapsed="false">
      <c r="A281" s="6" t="s">
        <v>101</v>
      </c>
      <c r="B281" s="11" t="n">
        <v>45962</v>
      </c>
      <c r="C281" s="6" t="s">
        <v>94</v>
      </c>
      <c r="D281" s="12" t="n">
        <v>32134</v>
      </c>
      <c r="E281" s="12" t="n">
        <v>18096</v>
      </c>
    </row>
    <row r="282" customFormat="false" ht="15" hidden="false" customHeight="false" outlineLevel="0" collapsed="false">
      <c r="A282" s="6" t="s">
        <v>101</v>
      </c>
      <c r="B282" s="11" t="n">
        <v>45962</v>
      </c>
      <c r="C282" s="6" t="s">
        <v>95</v>
      </c>
      <c r="D282" s="12" t="n">
        <v>38696</v>
      </c>
      <c r="E282" s="12" t="n">
        <v>30361</v>
      </c>
    </row>
    <row r="283" customFormat="false" ht="15" hidden="false" customHeight="false" outlineLevel="0" collapsed="false">
      <c r="A283" s="6" t="s">
        <v>101</v>
      </c>
      <c r="B283" s="11" t="n">
        <v>45962</v>
      </c>
      <c r="C283" s="6" t="s">
        <v>96</v>
      </c>
      <c r="D283" s="12" t="n">
        <v>59380</v>
      </c>
      <c r="E283" s="12" t="n">
        <v>40179</v>
      </c>
    </row>
    <row r="284" customFormat="false" ht="15" hidden="false" customHeight="false" outlineLevel="0" collapsed="false">
      <c r="A284" s="6" t="s">
        <v>101</v>
      </c>
      <c r="B284" s="11" t="n">
        <v>45962</v>
      </c>
      <c r="C284" s="6" t="s">
        <v>97</v>
      </c>
      <c r="D284" s="12" t="n">
        <v>30824</v>
      </c>
      <c r="E284" s="12" t="n">
        <v>11190</v>
      </c>
    </row>
    <row r="285" customFormat="false" ht="15" hidden="false" customHeight="false" outlineLevel="0" collapsed="false">
      <c r="A285" s="6" t="s">
        <v>101</v>
      </c>
      <c r="B285" s="11" t="n">
        <v>45962</v>
      </c>
      <c r="C285" s="6" t="s">
        <v>98</v>
      </c>
      <c r="D285" s="12" t="n">
        <v>53522</v>
      </c>
      <c r="E285" s="12" t="n">
        <v>41199</v>
      </c>
    </row>
    <row r="286" customFormat="false" ht="15" hidden="false" customHeight="false" outlineLevel="0" collapsed="false">
      <c r="A286" s="6" t="s">
        <v>101</v>
      </c>
      <c r="B286" s="11" t="n">
        <v>45992</v>
      </c>
      <c r="C286" s="6" t="s">
        <v>93</v>
      </c>
      <c r="D286" s="12" t="n">
        <v>49581</v>
      </c>
      <c r="E286" s="12" t="n">
        <v>19881</v>
      </c>
    </row>
    <row r="287" customFormat="false" ht="15" hidden="false" customHeight="false" outlineLevel="0" collapsed="false">
      <c r="A287" s="6" t="s">
        <v>101</v>
      </c>
      <c r="B287" s="11" t="n">
        <v>45992</v>
      </c>
      <c r="C287" s="6" t="s">
        <v>94</v>
      </c>
      <c r="D287" s="12" t="n">
        <v>33662</v>
      </c>
      <c r="E287" s="12" t="n">
        <v>18080</v>
      </c>
    </row>
    <row r="288" customFormat="false" ht="15" hidden="false" customHeight="false" outlineLevel="0" collapsed="false">
      <c r="A288" s="6" t="s">
        <v>101</v>
      </c>
      <c r="B288" s="11" t="n">
        <v>45992</v>
      </c>
      <c r="C288" s="6" t="s">
        <v>95</v>
      </c>
      <c r="D288" s="12" t="n">
        <v>43451</v>
      </c>
      <c r="E288" s="12" t="n">
        <v>33078</v>
      </c>
    </row>
    <row r="289" customFormat="false" ht="15" hidden="false" customHeight="false" outlineLevel="0" collapsed="false">
      <c r="A289" s="6" t="s">
        <v>101</v>
      </c>
      <c r="B289" s="11" t="n">
        <v>45992</v>
      </c>
      <c r="C289" s="6" t="s">
        <v>96</v>
      </c>
      <c r="D289" s="12" t="n">
        <v>61233</v>
      </c>
      <c r="E289" s="12" t="n">
        <v>41247</v>
      </c>
    </row>
    <row r="290" customFormat="false" ht="15" hidden="false" customHeight="false" outlineLevel="0" collapsed="false">
      <c r="A290" s="6" t="s">
        <v>101</v>
      </c>
      <c r="B290" s="11" t="n">
        <v>45992</v>
      </c>
      <c r="C290" s="6" t="s">
        <v>97</v>
      </c>
      <c r="D290" s="12" t="n">
        <v>35709</v>
      </c>
      <c r="E290" s="12" t="n">
        <v>12798</v>
      </c>
    </row>
    <row r="291" customFormat="false" ht="15" hidden="false" customHeight="false" outlineLevel="0" collapsed="false">
      <c r="A291" s="6" t="s">
        <v>101</v>
      </c>
      <c r="B291" s="11" t="n">
        <v>45992</v>
      </c>
      <c r="C291" s="6" t="s">
        <v>98</v>
      </c>
      <c r="D291" s="12" t="n">
        <v>58818</v>
      </c>
      <c r="E291" s="12" t="n">
        <v>44664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28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102</v>
      </c>
    </row>
    <row r="3" customFormat="false" ht="15" hidden="false" customHeight="false" outlineLevel="0" collapsed="false">
      <c r="A3" s="13" t="s">
        <v>103</v>
      </c>
    </row>
    <row r="4" customFormat="false" ht="43.5" hidden="false" customHeight="true" outlineLevel="0" collapsed="false">
      <c r="A4" s="5" t="s">
        <v>89</v>
      </c>
      <c r="B4" s="5" t="s">
        <v>92</v>
      </c>
      <c r="C4" s="5" t="s">
        <v>99</v>
      </c>
      <c r="D4" s="5" t="s">
        <v>100</v>
      </c>
      <c r="E4" s="5" t="s">
        <v>101</v>
      </c>
      <c r="F4" s="5" t="s">
        <v>104</v>
      </c>
    </row>
    <row r="5" customFormat="false" ht="15" hidden="false" customHeight="false" outlineLevel="0" collapsed="false">
      <c r="A5" s="11" t="n">
        <v>45658</v>
      </c>
      <c r="B5" s="14" t="n">
        <f aca="false">SUMIFS(Facturacion_demo!$D$4:$D$291,Facturacion_demo!$A$4:$A$291,B$4,Facturacion_demo!$B$4:$B$291,$A5)</f>
        <v>348444</v>
      </c>
      <c r="C5" s="14" t="n">
        <f aca="false">SUMIFS(Facturacion_demo!$D$4:$D$291,Facturacion_demo!$A$4:$A$291,C$4,Facturacion_demo!$B$4:$B$291,$A5)</f>
        <v>265082</v>
      </c>
      <c r="D5" s="14" t="n">
        <f aca="false">SUMIFS(Facturacion_demo!$D$4:$D$291,Facturacion_demo!$A$4:$A$291,D$4,Facturacion_demo!$B$4:$B$291,$A5)</f>
        <v>306696</v>
      </c>
      <c r="E5" s="14" t="n">
        <f aca="false">SUMIFS(Facturacion_demo!$D$4:$D$291,Facturacion_demo!$A$4:$A$291,E$4,Facturacion_demo!$B$4:$B$291,$A5)</f>
        <v>191013</v>
      </c>
      <c r="F5" s="15" t="n">
        <f aca="false">SUM(B5:E5)</f>
        <v>1111235</v>
      </c>
    </row>
    <row r="6" customFormat="false" ht="15" hidden="false" customHeight="false" outlineLevel="0" collapsed="false">
      <c r="A6" s="11" t="n">
        <v>45689</v>
      </c>
      <c r="B6" s="14" t="n">
        <f aca="false">SUMIFS(Facturacion_demo!$D$4:$D$291,Facturacion_demo!$A$4:$A$291,B$4,Facturacion_demo!$B$4:$B$291,$A6)</f>
        <v>332007</v>
      </c>
      <c r="C6" s="14" t="n">
        <f aca="false">SUMIFS(Facturacion_demo!$D$4:$D$291,Facturacion_demo!$A$4:$A$291,C$4,Facturacion_demo!$B$4:$B$291,$A6)</f>
        <v>247412</v>
      </c>
      <c r="D6" s="14" t="n">
        <f aca="false">SUMIFS(Facturacion_demo!$D$4:$D$291,Facturacion_demo!$A$4:$A$291,D$4,Facturacion_demo!$B$4:$B$291,$A6)</f>
        <v>315359</v>
      </c>
      <c r="E6" s="14" t="n">
        <f aca="false">SUMIFS(Facturacion_demo!$D$4:$D$291,Facturacion_demo!$A$4:$A$291,E$4,Facturacion_demo!$B$4:$B$291,$A6)</f>
        <v>174596</v>
      </c>
      <c r="F6" s="15" t="n">
        <f aca="false">SUM(B6:E6)</f>
        <v>1069374</v>
      </c>
    </row>
    <row r="7" customFormat="false" ht="15" hidden="false" customHeight="false" outlineLevel="0" collapsed="false">
      <c r="A7" s="11" t="n">
        <v>45717</v>
      </c>
      <c r="B7" s="14" t="n">
        <f aca="false">SUMIFS(Facturacion_demo!$D$4:$D$291,Facturacion_demo!$A$4:$A$291,B$4,Facturacion_demo!$B$4:$B$291,$A7)</f>
        <v>375877</v>
      </c>
      <c r="C7" s="14" t="n">
        <f aca="false">SUMIFS(Facturacion_demo!$D$4:$D$291,Facturacion_demo!$A$4:$A$291,C$4,Facturacion_demo!$B$4:$B$291,$A7)</f>
        <v>288400</v>
      </c>
      <c r="D7" s="14" t="n">
        <f aca="false">SUMIFS(Facturacion_demo!$D$4:$D$291,Facturacion_demo!$A$4:$A$291,D$4,Facturacion_demo!$B$4:$B$291,$A7)</f>
        <v>329848</v>
      </c>
      <c r="E7" s="14" t="n">
        <f aca="false">SUMIFS(Facturacion_demo!$D$4:$D$291,Facturacion_demo!$A$4:$A$291,E$4,Facturacion_demo!$B$4:$B$291,$A7)</f>
        <v>208825</v>
      </c>
      <c r="F7" s="15" t="n">
        <f aca="false">SUM(B7:E7)</f>
        <v>1202950</v>
      </c>
    </row>
    <row r="8" customFormat="false" ht="15" hidden="false" customHeight="false" outlineLevel="0" collapsed="false">
      <c r="A8" s="11" t="n">
        <v>45748</v>
      </c>
      <c r="B8" s="14" t="n">
        <f aca="false">SUMIFS(Facturacion_demo!$D$4:$D$291,Facturacion_demo!$A$4:$A$291,B$4,Facturacion_demo!$B$4:$B$291,$A8)</f>
        <v>373432</v>
      </c>
      <c r="C8" s="14" t="n">
        <f aca="false">SUMIFS(Facturacion_demo!$D$4:$D$291,Facturacion_demo!$A$4:$A$291,C$4,Facturacion_demo!$B$4:$B$291,$A8)</f>
        <v>284773</v>
      </c>
      <c r="D8" s="14" t="n">
        <f aca="false">SUMIFS(Facturacion_demo!$D$4:$D$291,Facturacion_demo!$A$4:$A$291,D$4,Facturacion_demo!$B$4:$B$291,$A8)</f>
        <v>345501</v>
      </c>
      <c r="E8" s="14" t="n">
        <f aca="false">SUMIFS(Facturacion_demo!$D$4:$D$291,Facturacion_demo!$A$4:$A$291,E$4,Facturacion_demo!$B$4:$B$291,$A8)</f>
        <v>214272</v>
      </c>
      <c r="F8" s="15" t="n">
        <f aca="false">SUM(B8:E8)</f>
        <v>1217978</v>
      </c>
    </row>
    <row r="9" customFormat="false" ht="15" hidden="false" customHeight="false" outlineLevel="0" collapsed="false">
      <c r="A9" s="11" t="n">
        <v>45778</v>
      </c>
      <c r="B9" s="14" t="n">
        <f aca="false">SUMIFS(Facturacion_demo!$D$4:$D$291,Facturacion_demo!$A$4:$A$291,B$4,Facturacion_demo!$B$4:$B$291,$A9)</f>
        <v>394980</v>
      </c>
      <c r="C9" s="14" t="n">
        <f aca="false">SUMIFS(Facturacion_demo!$D$4:$D$291,Facturacion_demo!$A$4:$A$291,C$4,Facturacion_demo!$B$4:$B$291,$A9)</f>
        <v>299033</v>
      </c>
      <c r="D9" s="14" t="n">
        <f aca="false">SUMIFS(Facturacion_demo!$D$4:$D$291,Facturacion_demo!$A$4:$A$291,D$4,Facturacion_demo!$B$4:$B$291,$A9)</f>
        <v>360430</v>
      </c>
      <c r="E9" s="14" t="n">
        <f aca="false">SUMIFS(Facturacion_demo!$D$4:$D$291,Facturacion_demo!$A$4:$A$291,E$4,Facturacion_demo!$B$4:$B$291,$A9)</f>
        <v>216211</v>
      </c>
      <c r="F9" s="15" t="n">
        <f aca="false">SUM(B9:E9)</f>
        <v>1270654</v>
      </c>
    </row>
    <row r="10" customFormat="false" ht="15" hidden="false" customHeight="false" outlineLevel="0" collapsed="false">
      <c r="A10" s="11" t="n">
        <v>45809</v>
      </c>
      <c r="B10" s="14" t="n">
        <f aca="false">SUMIFS(Facturacion_demo!$D$4:$D$291,Facturacion_demo!$A$4:$A$291,B$4,Facturacion_demo!$B$4:$B$291,$A10)</f>
        <v>373720</v>
      </c>
      <c r="C10" s="14" t="n">
        <f aca="false">SUMIFS(Facturacion_demo!$D$4:$D$291,Facturacion_demo!$A$4:$A$291,C$4,Facturacion_demo!$B$4:$B$291,$A10)</f>
        <v>304430</v>
      </c>
      <c r="D10" s="14" t="n">
        <f aca="false">SUMIFS(Facturacion_demo!$D$4:$D$291,Facturacion_demo!$A$4:$A$291,D$4,Facturacion_demo!$B$4:$B$291,$A10)</f>
        <v>349809</v>
      </c>
      <c r="E10" s="14" t="n">
        <f aca="false">SUMIFS(Facturacion_demo!$D$4:$D$291,Facturacion_demo!$A$4:$A$291,E$4,Facturacion_demo!$B$4:$B$291,$A10)</f>
        <v>210079</v>
      </c>
      <c r="F10" s="15" t="n">
        <f aca="false">SUM(B10:E10)</f>
        <v>1238038</v>
      </c>
    </row>
    <row r="11" customFormat="false" ht="15" hidden="false" customHeight="false" outlineLevel="0" collapsed="false">
      <c r="A11" s="11" t="n">
        <v>45839</v>
      </c>
      <c r="B11" s="14" t="n">
        <f aca="false">SUMIFS(Facturacion_demo!$D$4:$D$291,Facturacion_demo!$A$4:$A$291,B$4,Facturacion_demo!$B$4:$B$291,$A11)</f>
        <v>426416</v>
      </c>
      <c r="C11" s="14" t="n">
        <f aca="false">SUMIFS(Facturacion_demo!$D$4:$D$291,Facturacion_demo!$A$4:$A$291,C$4,Facturacion_demo!$B$4:$B$291,$A11)</f>
        <v>322276</v>
      </c>
      <c r="D11" s="14" t="n">
        <f aca="false">SUMIFS(Facturacion_demo!$D$4:$D$291,Facturacion_demo!$A$4:$A$291,D$4,Facturacion_demo!$B$4:$B$291,$A11)</f>
        <v>371297</v>
      </c>
      <c r="E11" s="14" t="n">
        <f aca="false">SUMIFS(Facturacion_demo!$D$4:$D$291,Facturacion_demo!$A$4:$A$291,E$4,Facturacion_demo!$B$4:$B$291,$A11)</f>
        <v>239129</v>
      </c>
      <c r="F11" s="15" t="n">
        <f aca="false">SUM(B11:E11)</f>
        <v>1359118</v>
      </c>
    </row>
    <row r="12" customFormat="false" ht="15" hidden="false" customHeight="false" outlineLevel="0" collapsed="false">
      <c r="A12" s="11" t="n">
        <v>45870</v>
      </c>
      <c r="B12" s="14" t="n">
        <f aca="false">SUMIFS(Facturacion_demo!$D$4:$D$291,Facturacion_demo!$A$4:$A$291,B$4,Facturacion_demo!$B$4:$B$291,$A12)</f>
        <v>435080</v>
      </c>
      <c r="C12" s="14" t="n">
        <f aca="false">SUMIFS(Facturacion_demo!$D$4:$D$291,Facturacion_demo!$A$4:$A$291,C$4,Facturacion_demo!$B$4:$B$291,$A12)</f>
        <v>332357</v>
      </c>
      <c r="D12" s="14" t="n">
        <f aca="false">SUMIFS(Facturacion_demo!$D$4:$D$291,Facturacion_demo!$A$4:$A$291,D$4,Facturacion_demo!$B$4:$B$291,$A12)</f>
        <v>392347</v>
      </c>
      <c r="E12" s="14" t="n">
        <f aca="false">SUMIFS(Facturacion_demo!$D$4:$D$291,Facturacion_demo!$A$4:$A$291,E$4,Facturacion_demo!$B$4:$B$291,$A12)</f>
        <v>239415</v>
      </c>
      <c r="F12" s="15" t="n">
        <f aca="false">SUM(B12:E12)</f>
        <v>1399199</v>
      </c>
    </row>
    <row r="13" customFormat="false" ht="15" hidden="false" customHeight="false" outlineLevel="0" collapsed="false">
      <c r="A13" s="11" t="n">
        <v>45901</v>
      </c>
      <c r="B13" s="14" t="n">
        <f aca="false">SUMIFS(Facturacion_demo!$D$4:$D$291,Facturacion_demo!$A$4:$A$291,B$4,Facturacion_demo!$B$4:$B$291,$A13)</f>
        <v>423558</v>
      </c>
      <c r="C13" s="14" t="n">
        <f aca="false">SUMIFS(Facturacion_demo!$D$4:$D$291,Facturacion_demo!$A$4:$A$291,C$4,Facturacion_demo!$B$4:$B$291,$A13)</f>
        <v>323096</v>
      </c>
      <c r="D13" s="14" t="n">
        <f aca="false">SUMIFS(Facturacion_demo!$D$4:$D$291,Facturacion_demo!$A$4:$A$291,D$4,Facturacion_demo!$B$4:$B$291,$A13)</f>
        <v>377889</v>
      </c>
      <c r="E13" s="14" t="n">
        <f aca="false">SUMIFS(Facturacion_demo!$D$4:$D$291,Facturacion_demo!$A$4:$A$291,E$4,Facturacion_demo!$B$4:$B$291,$A13)</f>
        <v>238889</v>
      </c>
      <c r="F13" s="15" t="n">
        <f aca="false">SUM(B13:E13)</f>
        <v>1363432</v>
      </c>
    </row>
    <row r="14" customFormat="false" ht="15" hidden="false" customHeight="false" outlineLevel="0" collapsed="false">
      <c r="A14" s="11" t="n">
        <v>45931</v>
      </c>
      <c r="B14" s="14" t="n">
        <f aca="false">SUMIFS(Facturacion_demo!$D$4:$D$291,Facturacion_demo!$A$4:$A$291,B$4,Facturacion_demo!$B$4:$B$291,$A14)</f>
        <v>451559</v>
      </c>
      <c r="C14" s="14" t="n">
        <f aca="false">SUMIFS(Facturacion_demo!$D$4:$D$291,Facturacion_demo!$A$4:$A$291,C$4,Facturacion_demo!$B$4:$B$291,$A14)</f>
        <v>360086</v>
      </c>
      <c r="D14" s="14" t="n">
        <f aca="false">SUMIFS(Facturacion_demo!$D$4:$D$291,Facturacion_demo!$A$4:$A$291,D$4,Facturacion_demo!$B$4:$B$291,$A14)</f>
        <v>411325</v>
      </c>
      <c r="E14" s="14" t="n">
        <f aca="false">SUMIFS(Facturacion_demo!$D$4:$D$291,Facturacion_demo!$A$4:$A$291,E$4,Facturacion_demo!$B$4:$B$291,$A14)</f>
        <v>245333</v>
      </c>
      <c r="F14" s="15" t="n">
        <f aca="false">SUM(B14:E14)</f>
        <v>1468303</v>
      </c>
    </row>
    <row r="15" customFormat="false" ht="15" hidden="false" customHeight="false" outlineLevel="0" collapsed="false">
      <c r="A15" s="11" t="n">
        <v>45962</v>
      </c>
      <c r="B15" s="14" t="n">
        <f aca="false">SUMIFS(Facturacion_demo!$D$4:$D$291,Facturacion_demo!$A$4:$A$291,B$4,Facturacion_demo!$B$4:$B$291,$A15)</f>
        <v>455028</v>
      </c>
      <c r="C15" s="14" t="n">
        <f aca="false">SUMIFS(Facturacion_demo!$D$4:$D$291,Facturacion_demo!$A$4:$A$291,C$4,Facturacion_demo!$B$4:$B$291,$A15)</f>
        <v>363610</v>
      </c>
      <c r="D15" s="14" t="n">
        <f aca="false">SUMIFS(Facturacion_demo!$D$4:$D$291,Facturacion_demo!$A$4:$A$291,D$4,Facturacion_demo!$B$4:$B$291,$A15)</f>
        <v>417575</v>
      </c>
      <c r="E15" s="14" t="n">
        <f aca="false">SUMIFS(Facturacion_demo!$D$4:$D$291,Facturacion_demo!$A$4:$A$291,E$4,Facturacion_demo!$B$4:$B$291,$A15)</f>
        <v>262610</v>
      </c>
      <c r="F15" s="15" t="n">
        <f aca="false">SUM(B15:E15)</f>
        <v>1498823</v>
      </c>
    </row>
    <row r="16" customFormat="false" ht="15" hidden="false" customHeight="false" outlineLevel="0" collapsed="false">
      <c r="A16" s="11" t="n">
        <v>45992</v>
      </c>
      <c r="B16" s="14" t="n">
        <f aca="false">SUMIFS(Facturacion_demo!$D$4:$D$291,Facturacion_demo!$A$4:$A$291,B$4,Facturacion_demo!$B$4:$B$291,$A16)</f>
        <v>496770</v>
      </c>
      <c r="C16" s="14" t="n">
        <f aca="false">SUMIFS(Facturacion_demo!$D$4:$D$291,Facturacion_demo!$A$4:$A$291,C$4,Facturacion_demo!$B$4:$B$291,$A16)</f>
        <v>380192</v>
      </c>
      <c r="D16" s="14" t="n">
        <f aca="false">SUMIFS(Facturacion_demo!$D$4:$D$291,Facturacion_demo!$A$4:$A$291,D$4,Facturacion_demo!$B$4:$B$291,$A16)</f>
        <v>469883</v>
      </c>
      <c r="E16" s="14" t="n">
        <f aca="false">SUMIFS(Facturacion_demo!$D$4:$D$291,Facturacion_demo!$A$4:$A$291,E$4,Facturacion_demo!$B$4:$B$291,$A16)</f>
        <v>282454</v>
      </c>
      <c r="F16" s="15" t="n">
        <f aca="false">SUM(B16:E16)</f>
        <v>1629299</v>
      </c>
    </row>
    <row r="17" customFormat="false" ht="15" hidden="false" customHeight="false" outlineLevel="0" collapsed="false">
      <c r="A17" s="16" t="s">
        <v>105</v>
      </c>
      <c r="B17" s="17" t="n">
        <f aca="false">SUM(B5:B16)</f>
        <v>4886871</v>
      </c>
      <c r="C17" s="17" t="n">
        <f aca="false">SUM(C5:C16)</f>
        <v>3770747</v>
      </c>
      <c r="D17" s="17" t="n">
        <f aca="false">SUM(D5:D16)</f>
        <v>4447959</v>
      </c>
      <c r="E17" s="17" t="n">
        <f aca="false">SUM(E5:E16)</f>
        <v>2722826</v>
      </c>
      <c r="F17" s="17" t="n">
        <f aca="false">SUM(F5:F16)</f>
        <v>15828403</v>
      </c>
    </row>
    <row r="19" customFormat="false" ht="15" hidden="false" customHeight="false" outlineLevel="0" collapsed="false">
      <c r="A19" s="13" t="s">
        <v>106</v>
      </c>
    </row>
    <row r="20" customFormat="false" ht="43.5" hidden="false" customHeight="true" outlineLevel="0" collapsed="false">
      <c r="A20" s="5" t="s">
        <v>90</v>
      </c>
      <c r="B20" s="5" t="s">
        <v>91</v>
      </c>
      <c r="C20" s="5" t="s">
        <v>20</v>
      </c>
      <c r="D20" s="5" t="s">
        <v>21</v>
      </c>
      <c r="E20" s="5" t="s">
        <v>22</v>
      </c>
      <c r="F20" s="5" t="s">
        <v>107</v>
      </c>
    </row>
    <row r="21" customFormat="false" ht="15" hidden="false" customHeight="false" outlineLevel="0" collapsed="false">
      <c r="A21" s="6" t="s">
        <v>93</v>
      </c>
      <c r="B21" s="14" t="n">
        <f aca="false">SUMIFS(Facturacion_demo!$D$4:$D$291,Facturacion_demo!$C$4:$C$291,$A21)</f>
        <v>2882594</v>
      </c>
      <c r="C21" s="14" t="n">
        <f aca="false">SUMIFS(Facturacion_demo!$E$4:$E$291,Facturacion_demo!$C$4:$C$291,$A21)</f>
        <v>1191290</v>
      </c>
      <c r="D21" s="18" t="n">
        <f aca="false">(B21-C21)/B21</f>
        <v>0.586729868999936</v>
      </c>
      <c r="E21" s="19" t="str">
        <f aca="false">IF(D21&lt;0.3,"Margen entre el 10% y 30%",IF(D21&lt;0.5,"Margen entre el 30% y 50%",IF(D21&lt;0.7,"Margen entre el 50% y 70%","Margen mayor al 70%")))</f>
        <v>Margen entre el 50% y 70%</v>
      </c>
      <c r="F21" s="18" t="n">
        <f aca="false">B21/SUM($B$21:$B$26)</f>
        <v>0.18211527720137</v>
      </c>
    </row>
    <row r="22" customFormat="false" ht="15" hidden="false" customHeight="false" outlineLevel="0" collapsed="false">
      <c r="A22" s="6" t="s">
        <v>94</v>
      </c>
      <c r="B22" s="14" t="n">
        <f aca="false">SUMIFS(Facturacion_demo!$D$4:$D$291,Facturacion_demo!$C$4:$C$291,$A22)</f>
        <v>2076588</v>
      </c>
      <c r="C22" s="14" t="n">
        <f aca="false">SUMIFS(Facturacion_demo!$E$4:$E$291,Facturacion_demo!$C$4:$C$291,$A22)</f>
        <v>1099682</v>
      </c>
      <c r="D22" s="18" t="n">
        <f aca="false">(B22-C22)/B22</f>
        <v>0.470438045486153</v>
      </c>
      <c r="E22" s="19" t="str">
        <f aca="false">IF(D22&lt;0.3,"Margen entre el 10% y 30%",IF(D22&lt;0.5,"Margen entre el 30% y 50%",IF(D22&lt;0.7,"Margen entre el 50% y 70%","Margen mayor al 70%")))</f>
        <v>Margen entre el 30% y 50%</v>
      </c>
      <c r="F22" s="18" t="n">
        <f aca="false">B22/SUM($B$21:$B$26)</f>
        <v>0.131193778677483</v>
      </c>
    </row>
    <row r="23" customFormat="false" ht="15" hidden="false" customHeight="false" outlineLevel="0" collapsed="false">
      <c r="A23" s="6" t="s">
        <v>95</v>
      </c>
      <c r="B23" s="14" t="n">
        <f aca="false">SUMIFS(Facturacion_demo!$D$4:$D$291,Facturacion_demo!$C$4:$C$291,$A23)</f>
        <v>2514311</v>
      </c>
      <c r="C23" s="14" t="n">
        <f aca="false">SUMIFS(Facturacion_demo!$E$4:$E$291,Facturacion_demo!$C$4:$C$291,$A23)</f>
        <v>1913377</v>
      </c>
      <c r="D23" s="18" t="n">
        <f aca="false">(B23-C23)/B23</f>
        <v>0.239005437274864</v>
      </c>
      <c r="E23" s="19" t="str">
        <f aca="false">IF(D23&lt;0.3,"Margen entre el 10% y 30%",IF(D23&lt;0.5,"Margen entre el 30% y 50%",IF(D23&lt;0.7,"Margen entre el 50% y 70%","Margen mayor al 70%")))</f>
        <v>Margen entre el 10% y 30%</v>
      </c>
      <c r="F23" s="18" t="n">
        <f aca="false">B23/SUM($B$21:$B$26)</f>
        <v>0.15884805308533</v>
      </c>
    </row>
    <row r="24" customFormat="false" ht="15" hidden="false" customHeight="false" outlineLevel="0" collapsed="false">
      <c r="A24" s="6" t="s">
        <v>96</v>
      </c>
      <c r="B24" s="14" t="n">
        <f aca="false">SUMIFS(Facturacion_demo!$D$4:$D$291,Facturacion_demo!$C$4:$C$291,$A24)</f>
        <v>3370248</v>
      </c>
      <c r="C24" s="14" t="n">
        <f aca="false">SUMIFS(Facturacion_demo!$E$4:$E$291,Facturacion_demo!$C$4:$C$291,$A24)</f>
        <v>2162062</v>
      </c>
      <c r="D24" s="18" t="n">
        <f aca="false">(B24-C24)/B24</f>
        <v>0.358485785022349</v>
      </c>
      <c r="E24" s="19" t="str">
        <f aca="false">IF(D24&lt;0.3,"Margen entre el 10% y 30%",IF(D24&lt;0.5,"Margen entre el 30% y 50%",IF(D24&lt;0.7,"Margen entre el 50% y 70%","Margen mayor al 70%")))</f>
        <v>Margen entre el 30% y 50%</v>
      </c>
      <c r="F24" s="18" t="n">
        <f aca="false">B24/SUM($B$21:$B$26)</f>
        <v>0.212924070735374</v>
      </c>
    </row>
    <row r="25" customFormat="false" ht="15" hidden="false" customHeight="false" outlineLevel="0" collapsed="false">
      <c r="A25" s="6" t="s">
        <v>97</v>
      </c>
      <c r="B25" s="14" t="n">
        <f aca="false">SUMIFS(Facturacion_demo!$D$4:$D$291,Facturacion_demo!$C$4:$C$291,$A25)</f>
        <v>1850869</v>
      </c>
      <c r="C25" s="14" t="n">
        <f aca="false">SUMIFS(Facturacion_demo!$E$4:$E$291,Facturacion_demo!$C$4:$C$291,$A25)</f>
        <v>632613</v>
      </c>
      <c r="D25" s="18" t="n">
        <f aca="false">(B25-C25)/B25</f>
        <v>0.658207577089464</v>
      </c>
      <c r="E25" s="19" t="str">
        <f aca="false">IF(D25&lt;0.3,"Margen entre el 10% y 30%",IF(D25&lt;0.5,"Margen entre el 30% y 50%",IF(D25&lt;0.7,"Margen entre el 50% y 70%","Margen mayor al 70%")))</f>
        <v>Margen entre el 50% y 70%</v>
      </c>
      <c r="F25" s="18" t="n">
        <f aca="false">B25/SUM($B$21:$B$26)</f>
        <v>0.116933401303972</v>
      </c>
    </row>
    <row r="26" customFormat="false" ht="15" hidden="false" customHeight="false" outlineLevel="0" collapsed="false">
      <c r="A26" s="6" t="s">
        <v>98</v>
      </c>
      <c r="B26" s="14" t="n">
        <f aca="false">SUMIFS(Facturacion_demo!$D$4:$D$291,Facturacion_demo!$C$4:$C$291,$A26)</f>
        <v>3133793</v>
      </c>
      <c r="C26" s="14" t="n">
        <f aca="false">SUMIFS(Facturacion_demo!$E$4:$E$291,Facturacion_demo!$C$4:$C$291,$A26)</f>
        <v>2295846</v>
      </c>
      <c r="D26" s="18" t="n">
        <f aca="false">(B26-C26)/B26</f>
        <v>0.26739066683728</v>
      </c>
      <c r="E26" s="19" t="str">
        <f aca="false">IF(D26&lt;0.3,"Margen entre el 10% y 30%",IF(D26&lt;0.5,"Margen entre el 30% y 50%",IF(D26&lt;0.7,"Margen entre el 50% y 70%","Margen mayor al 70%")))</f>
        <v>Margen entre el 10% y 30%</v>
      </c>
      <c r="F26" s="18" t="n">
        <f aca="false">B26/SUM($B$21:$B$26)</f>
        <v>0.197985418996471</v>
      </c>
    </row>
    <row r="28" customFormat="false" ht="15" hidden="false" customHeight="false" outlineLevel="0" collapsed="false">
      <c r="A28" s="13" t="s">
        <v>108</v>
      </c>
    </row>
    <row r="29" customFormat="false" ht="43.5" hidden="false" customHeight="true" outlineLevel="0" collapsed="false">
      <c r="A29" s="5" t="s">
        <v>109</v>
      </c>
      <c r="B29" s="5" t="s">
        <v>110</v>
      </c>
    </row>
    <row r="30" customFormat="false" ht="15" hidden="false" customHeight="false" outlineLevel="0" collapsed="false">
      <c r="A30" s="9" t="s">
        <v>111</v>
      </c>
      <c r="B30" s="20" t="n">
        <f aca="false">F17</f>
        <v>15828403</v>
      </c>
    </row>
    <row r="31" customFormat="false" ht="15" hidden="false" customHeight="false" outlineLevel="0" collapsed="false">
      <c r="A31" s="9" t="s">
        <v>112</v>
      </c>
      <c r="B31" s="20" t="n">
        <f aca="false">SUM(Facturacion_demo!$E$4:$E$291)</f>
        <v>9294870</v>
      </c>
    </row>
    <row r="32" customFormat="false" ht="15" hidden="false" customHeight="false" outlineLevel="0" collapsed="false">
      <c r="A32" s="9" t="s">
        <v>113</v>
      </c>
      <c r="B32" s="21" t="n">
        <f aca="false">(B30-B31)/B30</f>
        <v>0.412772722554512</v>
      </c>
    </row>
    <row r="33" customFormat="false" ht="15" hidden="false" customHeight="false" outlineLevel="0" collapsed="false">
      <c r="A33" s="9" t="s">
        <v>114</v>
      </c>
      <c r="B33" s="20" t="n">
        <f aca="false">F16</f>
        <v>1629299</v>
      </c>
    </row>
    <row r="34" customFormat="false" ht="15" hidden="false" customHeight="false" outlineLevel="0" collapsed="false">
      <c r="A34" s="9" t="s">
        <v>115</v>
      </c>
      <c r="B34" s="21" t="n">
        <f aca="false">F16/F15-1</f>
        <v>0.0870523070435936</v>
      </c>
    </row>
    <row r="35" customFormat="false" ht="15" hidden="false" customHeight="false" outlineLevel="0" collapsed="false">
      <c r="A35" s="9" t="s">
        <v>116</v>
      </c>
      <c r="B35" s="22" t="str">
        <f aca="false">INDEX($B$4:$E$4,MATCH(MAX($B$17:$E$17),$B$17:$E$17,0))</f>
        <v>Hospital Norte</v>
      </c>
    </row>
    <row r="36" customFormat="false" ht="15" hidden="false" customHeight="false" outlineLevel="0" collapsed="false">
      <c r="A36" s="9" t="s">
        <v>117</v>
      </c>
      <c r="B36" s="21" t="n">
        <f aca="false">MAX($B$17:$E$17)/$F$17</f>
        <v>0.308740622790562</v>
      </c>
    </row>
    <row r="37" customFormat="false" ht="15" hidden="false" customHeight="false" outlineLevel="0" collapsed="false">
      <c r="A37" s="9" t="s">
        <v>118</v>
      </c>
      <c r="B37" s="22" t="str">
        <f aca="false">INDEX($A$21:$A$26,MATCH(MAX($B$21:$B$26),$B$21:$B$26,0))</f>
        <v>Cirugía</v>
      </c>
    </row>
    <row r="38" customFormat="false" ht="15" hidden="false" customHeight="false" outlineLevel="0" collapsed="false">
      <c r="A38" s="9" t="s">
        <v>119</v>
      </c>
      <c r="B38" s="22" t="str">
        <f aca="false">INDEX($A$21:$A$26,MATCH(MAX($D$21:$D$26),$D$21:$D$26,0))</f>
        <v>Consulta externa</v>
      </c>
    </row>
    <row r="39" customFormat="false" ht="15" hidden="false" customHeight="false" outlineLevel="0" collapsed="false">
      <c r="A39" s="9" t="s">
        <v>120</v>
      </c>
      <c r="B39" s="21" t="n">
        <f aca="false">MAX($D$21:$D$26)</f>
        <v>0.658207577089464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2026-10-19T20:26:34Z</dcterms:created>
  <dc:creator>openpyxl</dc:creator>
  <dc:description/>
  <dc:language>en-US</dc:language>
  <cp:lastModifiedBy/>
  <dcterms:modified xsi:type="dcterms:W3CDTF">2026-10-19T20:26:34Z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